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CLIM/CHIK_CLIM/Ref/"/>
    </mc:Choice>
  </mc:AlternateContent>
  <xr:revisionPtr revIDLastSave="0" documentId="8_{8D1590E2-0CCB-4F78-8D0C-D8F1CFA03C25}" xr6:coauthVersionLast="47" xr6:coauthVersionMax="47" xr10:uidLastSave="{00000000-0000-0000-0000-000000000000}"/>
  <bookViews>
    <workbookView xWindow="10860" yWindow="1980" windowWidth="17925" windowHeight="12450" activeTab="6" xr2:uid="{00000000-000D-0000-FFFF-FFFF00000000}"/>
  </bookViews>
  <sheets>
    <sheet name="README" sheetId="1" r:id="rId1"/>
    <sheet name="Priority_view" sheetId="2" r:id="rId2"/>
    <sheet name="Raw_observations" sheetId="3" r:id="rId3"/>
    <sheet name="Survey_units" sheetId="4" r:id="rId4"/>
    <sheet name="Age_strata" sheetId="5" r:id="rId5"/>
    <sheet name="Sources" sheetId="6" r:id="rId6"/>
    <sheet name="Review_trace" sheetId="7" r:id="rId7"/>
    <sheet name="UF_coverage" sheetId="8" r:id="rId8"/>
    <sheet name="Gaps_exclusions" sheetId="9" r:id="rId9"/>
    <sheet name="Search_log" sheetId="10" r:id="rId10"/>
    <sheet name="Data_dictionary" sheetId="11" r:id="rId11"/>
    <sheet name="UF_source_links" sheetId="12" r:id="rId12"/>
  </sheets>
  <definedNames>
    <definedName name="_xlnm._FilterDatabase" localSheetId="4" hidden="1">Age_strata!$A$4:$L$19</definedName>
    <definedName name="_xlnm._FilterDatabase" localSheetId="10" hidden="1">Data_dictionary!$A$4:$B$33</definedName>
    <definedName name="_xlnm._FilterDatabase" localSheetId="8" hidden="1">Gaps_exclusions!$A$4:$G$28</definedName>
    <definedName name="_xlnm._FilterDatabase" localSheetId="1" hidden="1">Priority_view!$A$4:$R$40</definedName>
    <definedName name="_xlnm._FilterDatabase" localSheetId="2" hidden="1">Raw_observations!$A$4:$U$60</definedName>
    <definedName name="_xlnm._FilterDatabase" localSheetId="6" hidden="1">Review_trace!$A$4:$H$16</definedName>
    <definedName name="_xlnm._FilterDatabase" localSheetId="9" hidden="1">Search_log!$A$4:$G$16</definedName>
    <definedName name="_xlnm._FilterDatabase" localSheetId="5" hidden="1">Sources!$A$4:$M$26</definedName>
    <definedName name="_xlnm._FilterDatabase" localSheetId="3" hidden="1">Survey_units!$A$4:$Q$40</definedName>
    <definedName name="_xlnm._FilterDatabase" localSheetId="7" hidden="1">UF_coverage!$A$4:$I$31</definedName>
    <definedName name="_xlnm.Print_Area" localSheetId="0">README!$A$1:$H$50</definedName>
    <definedName name="_xlnm.Print_Titles" localSheetId="4">Age_strata!$1:$4</definedName>
    <definedName name="_xlnm.Print_Titles" localSheetId="10">Data_dictionary!$1:$4</definedName>
    <definedName name="_xlnm.Print_Titles" localSheetId="8">Gaps_exclusions!$1:$4</definedName>
    <definedName name="_xlnm.Print_Titles" localSheetId="1">Priority_view!$1:$4</definedName>
    <definedName name="_xlnm.Print_Titles" localSheetId="2">Raw_observations!$1:$4</definedName>
    <definedName name="_xlnm.Print_Titles" localSheetId="6">Review_trace!$1:$4</definedName>
    <definedName name="_xlnm.Print_Titles" localSheetId="9">Search_log!$1:$4</definedName>
    <definedName name="_xlnm.Print_Titles" localSheetId="5">Sources!$1:$4</definedName>
    <definedName name="_xlnm.Print_Titles" localSheetId="3">Survey_units!$1:$4</definedName>
    <definedName name="_xlnm.Print_Titles" localSheetId="7">UF_coverage!$1:$4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8" l="1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G9" i="1"/>
  <c r="G8" i="1"/>
  <c r="G7" i="1"/>
  <c r="G6" i="1"/>
  <c r="G5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audit</author>
  </authors>
  <commentList>
    <comment ref="H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I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K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H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I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K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See primary source.</t>
        </r>
      </text>
    </comment>
    <comment ref="H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See primary source.</t>
        </r>
      </text>
    </comment>
    <comment ref="I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See primary source.</t>
        </r>
      </text>
    </comment>
    <comment ref="K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See primary source.</t>
        </r>
      </text>
    </comment>
    <comment ref="H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See primary source.</t>
        </r>
      </text>
    </comment>
    <comment ref="I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See primary source.</t>
        </r>
      </text>
    </comment>
    <comment ref="K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See primary source.</t>
        </r>
      </text>
    </comment>
    <comment ref="H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See primary source.</t>
        </r>
      </text>
    </comment>
    <comment ref="I9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See primary source.</t>
        </r>
      </text>
    </comment>
    <comment ref="K9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See primary source.</t>
        </r>
      </text>
    </comment>
    <comment ref="H10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https://onlinelibrary.wiley.com/doi/abs/10.1111/zph.12888
Locator: See primary source.</t>
        </r>
      </text>
    </comment>
    <comment ref="K10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https://onlinelibrary.wiley.com/doi/abs/10.1111/zph.12888
Locator: See primary source.</t>
        </r>
      </text>
    </comment>
    <comment ref="H1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I1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K1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H1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I1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K1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H13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I13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K13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See primary source.</t>
        </r>
      </text>
    </comment>
    <comment ref="H1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See primary source.</t>
        </r>
      </text>
    </comment>
    <comment ref="I1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See primary source.</t>
        </r>
      </text>
    </comment>
    <comment ref="K1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See primary source.</t>
        </r>
      </text>
    </comment>
    <comment ref="H15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I15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K15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H16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I16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K1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See primary source.</t>
        </r>
      </text>
    </comment>
    <comment ref="H1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https://journals.plos.org/plosntds/article?id=10.1371/journal.pntd.0009289
Locator: See primary source.</t>
        </r>
      </text>
    </comment>
    <comment ref="K17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https://journals.plos.org/plosntds/article?id=10.1371/journal.pntd.0009289
Locator: See primary source.</t>
        </r>
      </text>
    </comment>
    <comment ref="H18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See primary source.</t>
        </r>
      </text>
    </comment>
    <comment ref="I18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See primary source.</t>
        </r>
      </text>
    </comment>
    <comment ref="K18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See primary source.</t>
        </r>
      </text>
    </comment>
    <comment ref="H19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https://link.springer.com/article/10.1186/s12879-025-10516-2
Locator: See primary source.</t>
        </r>
      </text>
    </comment>
    <comment ref="K19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https://link.springer.com/article/10.1186/s12879-025-10516-2
Locator: See primary source.</t>
        </r>
      </text>
    </comment>
    <comment ref="H20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I20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K20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H2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I2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K21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See primary source.</t>
        </r>
      </text>
    </comment>
    <comment ref="H2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See primary source.</t>
        </r>
      </text>
    </comment>
    <comment ref="I2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See primary source.</t>
        </r>
      </text>
    </comment>
    <comment ref="K2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See primary source.</t>
        </r>
      </text>
    </comment>
    <comment ref="H2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I23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K23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H24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I24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K24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H25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I25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K25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H26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I26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K26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H27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I27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K2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See primary source.</t>
        </r>
      </text>
    </comment>
    <comment ref="H28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See primary source.</t>
        </r>
      </text>
    </comment>
    <comment ref="I28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See primary source.</t>
        </r>
      </text>
    </comment>
    <comment ref="K28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See primary source.</t>
        </r>
      </text>
    </comment>
    <comment ref="H29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I29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K29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H30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I30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K30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See primary source.</t>
        </r>
      </text>
    </comment>
    <comment ref="H31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See primary source.</t>
        </r>
      </text>
    </comment>
    <comment ref="I31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See primary source.</t>
        </r>
      </text>
    </comment>
    <comment ref="K31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See primary source.</t>
        </r>
      </text>
    </comment>
    <comment ref="H32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Source: https://www.sciencedirect.com/science/article/pii/S2772707623000954
Locator: See primary source.</t>
        </r>
      </text>
    </comment>
    <comment ref="K32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Source: https://www.sciencedirect.com/science/article/pii/S2772707623000954
Locator: See primary source.</t>
        </r>
      </text>
    </comment>
    <comment ref="H33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See primary source.</t>
        </r>
      </text>
    </comment>
    <comment ref="I33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See primary source.</t>
        </r>
      </text>
    </comment>
    <comment ref="K33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See primary source.</t>
        </r>
      </text>
    </comment>
    <comment ref="H34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I34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K34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H35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I35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K35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H36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I36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K36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H37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I37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K37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H38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I38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K38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See primary source.</t>
        </r>
      </text>
    </comment>
    <comment ref="H39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See primary source.</t>
        </r>
      </text>
    </comment>
    <comment ref="K39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See primary source.</t>
        </r>
      </text>
    </comment>
    <comment ref="H40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See primary source.</t>
        </r>
      </text>
    </comment>
    <comment ref="I4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See primary source.</t>
        </r>
      </text>
    </comment>
    <comment ref="K40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See primary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audit</author>
  </authors>
  <commentList>
    <comment ref="H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I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K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H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8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9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I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K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Study; Table 1</t>
        </r>
      </text>
    </comment>
    <comment ref="H1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1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1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1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I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The Study</t>
        </r>
      </text>
    </comment>
    <comment ref="H1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Results</t>
        </r>
      </text>
    </comment>
    <comment ref="I1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Results</t>
        </r>
      </text>
    </comment>
    <comment ref="K1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Results</t>
        </r>
      </text>
    </comment>
    <comment ref="H1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I1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K1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H1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I1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K1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H1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I1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https://journals.plos.org/plosntds/article?id=10.1371/journal.pntd.0005319
Locator: Abstract / Results</t>
        </r>
      </text>
    </comment>
    <comment ref="H1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The Study / Results</t>
        </r>
      </text>
    </comment>
    <comment ref="I1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The Study / Results</t>
        </r>
      </text>
    </comment>
    <comment ref="K1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The Study / Results</t>
        </r>
      </text>
    </comment>
    <comment ref="H18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Abstract / Results</t>
        </r>
      </text>
    </comment>
    <comment ref="I1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https://wwwnc.cdc.gov/eid/article/26/7/19-0846_article
Locator: Abstract / Results</t>
        </r>
      </text>
    </comment>
    <comment ref="H1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Results / Abstract</t>
        </r>
      </text>
    </comment>
    <comment ref="I19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Results / Abstract</t>
        </r>
      </text>
    </comment>
    <comment ref="K19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https://link.springer.com/article/10.1186/s12879-020-05611-5
Locator: Results / Abstract</t>
        </r>
      </text>
    </comment>
    <comment ref="H2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https://onlinelibrary.wiley.com/doi/abs/10.1111/zph.12888
Locator: Abstract</t>
        </r>
      </text>
    </comment>
    <comment ref="K2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https://onlinelibrary.wiley.com/doi/abs/10.1111/zph.12888
Locator: Abstract</t>
        </r>
      </text>
    </comment>
    <comment ref="H2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I21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K21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H22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I22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K2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H2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I2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K2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https://journals.plos.org/plosntds/article?id=10.1371/journal.pntd.0009468
Locator: Results / Table 1</t>
        </r>
      </text>
    </comment>
    <comment ref="H24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Results / Discussion</t>
        </r>
      </text>
    </comment>
    <comment ref="I24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Results / Discussion</t>
        </r>
      </text>
    </comment>
    <comment ref="K24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Source: https://journals.plos.org/plosone/article?id=10.1371/journal.pone.0243239
Locator: Results / Discussion</t>
        </r>
      </text>
    </comment>
    <comment ref="H2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I2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K2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H2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I2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K26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H2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I2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K2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H2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I2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K2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https://pmc.ncbi.nlm.nih.gov/articles/PMC8993149/
Locator: Abstract / Results</t>
        </r>
      </text>
    </comment>
    <comment ref="H2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https://journals.plos.org/plosntds/article?id=10.1371/journal.pntd.0009289
Locator: Results / Table 2</t>
        </r>
      </text>
    </comment>
    <comment ref="K2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https://journals.plos.org/plosntds/article?id=10.1371/journal.pntd.0009289
Locator: Results / Table 2</t>
        </r>
      </text>
    </comment>
    <comment ref="H3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I3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K3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H3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K3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H3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K3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https://journals.plos.org/plosntds/article?id=10.1371/journal.pntd.0011270
Locator: Results</t>
        </r>
      </text>
    </comment>
    <comment ref="H3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https://link.springer.com/article/10.1186/s12879-025-10516-2
Locator: Abstract / Methods</t>
        </r>
      </text>
    </comment>
    <comment ref="K3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Source: https://link.springer.com/article/10.1186/s12879-025-10516-2
Locator: Abstract / Methods</t>
        </r>
      </text>
    </comment>
    <comment ref="H3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I3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K3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H35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I35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K35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Source: https://pubmed.ncbi.nlm.nih.gov/30370414/
Locator: Abstract</t>
        </r>
      </text>
    </comment>
    <comment ref="H3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I3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K3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H3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I3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K3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Source: https://onlinelibrary.wiley.com/doi/10.1111/tme.12870
Locator: Abstract</t>
        </r>
      </text>
    </comment>
    <comment ref="H3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I3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K38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H3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I3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K3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H4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I4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K4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H4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I4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K4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H42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I42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K4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Results / Table 1</t>
        </r>
      </text>
    </comment>
    <comment ref="H4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Results</t>
        </r>
      </text>
    </comment>
    <comment ref="I4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Results</t>
        </r>
      </text>
    </comment>
    <comment ref="K4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https://pmc.ncbi.nlm.nih.gov/articles/PMC12286324/
Locator: Results</t>
        </r>
      </text>
    </comment>
    <comment ref="H4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I4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K4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H45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I45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K45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H46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Abstract</t>
        </r>
      </text>
    </comment>
    <comment ref="I46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Abstract</t>
        </r>
      </text>
    </comment>
    <comment ref="K4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Source: https://pubmed.ncbi.nlm.nih.gov/37454038/
Locator: Abstract</t>
        </r>
      </text>
    </comment>
    <comment ref="H4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Source: https://www.sciencedirect.com/science/article/pii/S2772707623000954
Locator: Abstract</t>
        </r>
      </text>
    </comment>
    <comment ref="K4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Source: https://www.sciencedirect.com/science/article/pii/S2772707623000954
Locator: Abstract</t>
        </r>
      </text>
    </comment>
    <comment ref="H48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I48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K48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H4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I4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K4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Source: https://pubmed.ncbi.nlm.nih.gov/40638511/
Locator: Abstract</t>
        </r>
      </text>
    </comment>
    <comment ref="H5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I5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I5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1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2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I52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2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I5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I5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K5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Source: https://journals.plos.org/plosntds/article?id=10.1371/journal.pntd.0012013
Locator: Results</t>
        </r>
      </text>
    </comment>
    <comment ref="H5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Abstract</t>
        </r>
      </text>
    </comment>
    <comment ref="K5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Abstract</t>
        </r>
      </text>
    </comment>
    <comment ref="H5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Abstract</t>
        </r>
      </text>
    </comment>
    <comment ref="K5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Source: https://pubmed.ncbi.nlm.nih.gov/38970294/
Locator: Abstract</t>
        </r>
      </text>
    </comment>
    <comment ref="H5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Results: Arbovirus seroprevalence in Saude</t>
        </r>
      </text>
    </comment>
    <comment ref="I5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Results: Arbovirus seroprevalence in Saude</t>
        </r>
      </text>
    </comment>
    <comment ref="K58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Results: Arbovirus seroprevalence in Saude</t>
        </r>
      </text>
    </comment>
    <comment ref="H59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Comparison of MIA and commercial kits</t>
        </r>
      </text>
    </comment>
    <comment ref="K59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Comparison of MIA and commercial kits</t>
        </r>
      </text>
    </comment>
    <comment ref="H60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</t>
        </r>
      </text>
    </comment>
    <comment ref="I60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</t>
        </r>
      </text>
    </comment>
    <comment ref="K60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https://pmc.ncbi.nlm.nih.gov/articles/PMC13251372/
Locator: Results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audit</author>
  </authors>
  <commentList>
    <comment ref="F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8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9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9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10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10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1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1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12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G12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Source: https://wwwnc.cdc.gov/eid/article/24/4/17-1370_article
Locator: Table 1</t>
        </r>
      </text>
    </comment>
    <comment ref="F13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G13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F14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G14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F15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G15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F16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G16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F17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G1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Source: https://pmc.ncbi.nlm.nih.gov/articles/PMC12440227/
Locator: Table 1</t>
        </r>
      </text>
    </comment>
    <comment ref="F18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G18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I18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F19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G19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  <comment ref="I19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Source: https://pubmed.ncbi.nlm.nih.gov/42525035/
Locator: Abstract</t>
        </r>
      </text>
    </comment>
  </commentList>
</comments>
</file>

<file path=xl/sharedStrings.xml><?xml version="1.0" encoding="utf-8"?>
<sst xmlns="http://schemas.openxmlformats.org/spreadsheetml/2006/main" count="2872" uniqueCount="1078">
  <si>
    <t>BRAZIL | CHIKV SEROLOGY</t>
  </si>
  <si>
    <t>Primary evidence inventory  |  Search cutoff 10 September 2026  |  v1.0</t>
  </si>
  <si>
    <t>Primary papers</t>
  </si>
  <si>
    <t>Sample-site-timepoint records</t>
  </si>
  <si>
    <t>Assay / endpoint rows</t>
  </si>
  <si>
    <t>Rows with directly reported numerator + denominator</t>
  </si>
  <si>
    <t>Age-specific raw strata</t>
  </si>
  <si>
    <t>UFs with at least one extracted observation</t>
  </si>
  <si>
    <t>WHAT THIS FILE CONTAINS</t>
  </si>
  <si>
    <t>Observed Brazilian human serology values traced from primary publications. Cortes-Azuero (2025/2026) and Kang (2024) were starting points; complementary searching extends to 2026-09-10. Values are aggregate observations, NOT published FOI/S estimates and NOT individual participant data.</t>
  </si>
  <si>
    <t>IMPORTANT COMPLETENESS LIMIT</t>
  </si>
  <si>
    <t>This is a targeted, partially verified source inventory. The exact Cortes 12-study input table and the Kang extraction supplement could not be fully retrieved. Eight Brazilian primary citations from the Kang bibliography were traced. Do not call this a complete export of either study or an exhaustive systematic review.</t>
  </si>
  <si>
    <t>START HERE</t>
  </si>
  <si>
    <t>Priority_view: readable survey inventory. Raw_observations: all measured endpoints. Survey_units: place/date/population. Age_strata: recovered age counts. Sources and Review_trace: provenance. Gaps_exclusions: actions before modelling.</t>
  </si>
  <si>
    <t>DO NOT POOL EVERY ROW</t>
  </si>
  <si>
    <t>Several records are the same persons at repeated visits, the same sera tested for IgG/IgM, or pooled totals of listed sub-sites. Use cohort_or_overlap_id and preferred_endpoint_within_sample. None is assumed to represent a whole Brazilian state.</t>
  </si>
  <si>
    <t>RAW VS REPORTED</t>
  </si>
  <si>
    <t>Green numbers are imported observations. Black formula percentages are n_positive/n_tested. Reported percentages and confidence intervals are preserved separately. Blank counts mean not recovered, not zero. No numerator was reverse-engineered from a rounded/weighted percentage.</t>
  </si>
  <si>
    <t>WHAT CHANGES FOR YOUR PROJECT</t>
  </si>
  <si>
    <t>Evidence extends beyond Juazeiro and Quixada, including local city/household surveys, low-prevalence samples and longitudinal cohorts. This expands calibration options, but it does not supply representative serology for every UF/year. Match geography, ages, dates and assay before use.</t>
  </si>
  <si>
    <t>LATEST PRIMARY ADDITIONS</t>
  </si>
  <si>
    <t>Published in 2025/2026: four Salvador communities (Travis), Sao Sebastiao/DF (Nobre), pediatric Simoes Filho (Pereira), Jundiai pregnancy (Fajardo), Fortaleza paired women (Nogueira, 2026 volume) and Saude/BA (Wang, 2026). Publication year must not be used as collection year.</t>
  </si>
  <si>
    <t>INDEPENDENT VALIDATION</t>
  </si>
  <si>
    <t>Juazeiro and Quixada are already in the user's upstream FOI workflow. For other studies, independence from the actual FOI training set has not been established. Check DOI/cohort overlap or rebuild leave-study-out predictions before claiming external validation.</t>
  </si>
  <si>
    <t>SAMPLING / ASSAY CAUTION</t>
  </si>
  <si>
    <t>Population-based, hotspot, Indigenous, donor, maternal and pediatric samples are separated. Newborn IgG, IgM-only and illness-selected diagnostic positivity are not ordinary cumulative community exposure anchors. No biological susceptibility was calculated here.</t>
  </si>
  <si>
    <t>NEXT PRACTICAL STEP</t>
  </si>
  <si>
    <t>Review local-population records first; retrieve missing numerators and exact sampling frames; complete seed-paper crosswalk. Use design-aware uncertainty and a serological observation model rather than treating every published prevalence as a binomial state-level estimate.</t>
  </si>
  <si>
    <t>Priority view</t>
  </si>
  <si>
    <t>One selected endpoint per sample/site/timepoint. NOT 36 independent surveys. Use roles and cohort IDs; exact counts are separate from reported estimates.</t>
  </si>
  <si>
    <t>survey_id</t>
  </si>
  <si>
    <t>source_id</t>
  </si>
  <si>
    <t>uf</t>
  </si>
  <si>
    <t>place</t>
  </si>
  <si>
    <t>collection_dates</t>
  </si>
  <si>
    <t>population</t>
  </si>
  <si>
    <t>endpoint</t>
  </si>
  <si>
    <t>n_tested</t>
  </si>
  <si>
    <t>n_positive</t>
  </si>
  <si>
    <t>raw_proportion</t>
  </si>
  <si>
    <t>reported_proportion</t>
  </si>
  <si>
    <t>reported_ci_low</t>
  </si>
  <si>
    <t>reported_ci_high</t>
  </si>
  <si>
    <t>suggested_role</t>
  </si>
  <si>
    <t>raw_count_status</t>
  </si>
  <si>
    <t>repeated_or_pooled_id</t>
  </si>
  <si>
    <t>publication</t>
  </si>
  <si>
    <t>source_url</t>
  </si>
  <si>
    <t>U01</t>
  </si>
  <si>
    <t>P01</t>
  </si>
  <si>
    <t>BA</t>
  </si>
  <si>
    <t>Feira de Santana / George Americo</t>
  </si>
  <si>
    <t>Abstract: Oct-Dec 2015; methods: Nov-Dec 2015; table caption: 2015-2016</t>
  </si>
  <si>
    <t>Residents of selected epidemic hotspots</t>
  </si>
  <si>
    <t>IgM or IgG</t>
  </si>
  <si>
    <t>LOCAL_CONTEXT</t>
  </si>
  <si>
    <t>DIRECT n/N</t>
  </si>
  <si>
    <t>DIAS_2015_U01</t>
  </si>
  <si>
    <t>Dias 2018</t>
  </si>
  <si>
    <t>https://wwwnc.cdc.gov/eid/article/24/4/17-1370_article</t>
  </si>
  <si>
    <t>U02</t>
  </si>
  <si>
    <t>Riachao do Jacuipe / Alto do Cemiterio</t>
  </si>
  <si>
    <t>DIAS_2015_U02</t>
  </si>
  <si>
    <t>U03</t>
  </si>
  <si>
    <t>P02</t>
  </si>
  <si>
    <t>Chapada rural district, Riachao do Jacuipe</t>
  </si>
  <si>
    <t>April 2016</t>
  </si>
  <si>
    <t>Rural residents</t>
  </si>
  <si>
    <t>LOCAL_POPULATION_PRIORITY</t>
  </si>
  <si>
    <t>CUNHA_CHAPADA</t>
  </si>
  <si>
    <t>Cunha 2017</t>
  </si>
  <si>
    <t>https://journals.plos.org/plosntds/article?id=10.1371/journal.pntd.0005319</t>
  </si>
  <si>
    <t>U04</t>
  </si>
  <si>
    <t>P03</t>
  </si>
  <si>
    <t>Pau da Lima, Salvador</t>
  </si>
  <si>
    <t>November 2016-February 2017</t>
  </si>
  <si>
    <t>Residents in three contiguous valleys</t>
  </si>
  <si>
    <t>IgG</t>
  </si>
  <si>
    <t>ANJOS_PAU_DA_LIMA</t>
  </si>
  <si>
    <t>Anjos 2020</t>
  </si>
  <si>
    <t>https://wwwnc.cdc.gov/eid/article/26/7/19-0846_article</t>
  </si>
  <si>
    <t>U05</t>
  </si>
  <si>
    <t>P04</t>
  </si>
  <si>
    <t>CE</t>
  </si>
  <si>
    <t>Juazeiro do Norte</t>
  </si>
  <si>
    <t>June-December 2018</t>
  </si>
  <si>
    <t>Urban household residents</t>
  </si>
  <si>
    <t>BARRETO_JUAZEIRO</t>
  </si>
  <si>
    <t>Barreto 2020</t>
  </si>
  <si>
    <t>https://link.springer.com/article/10.1186/s12879-020-05611-5</t>
  </si>
  <si>
    <t>U06</t>
  </si>
  <si>
    <t>P05</t>
  </si>
  <si>
    <t>Quixada</t>
  </si>
  <si>
    <t>2019 (title); exact months not recovered</t>
  </si>
  <si>
    <t>Endemic-area residents</t>
  </si>
  <si>
    <t>Anti-CHIKV exposure; marker combination not verified</t>
  </si>
  <si>
    <t>Numerator NOT retrieved; do not reconstruct from rounded %</t>
  </si>
  <si>
    <t>BRAGA_QUIXADA</t>
  </si>
  <si>
    <t>Braga 2021</t>
  </si>
  <si>
    <t>https://onlinelibrary.wiley.com/doi/abs/10.1111/zph.12888</t>
  </si>
  <si>
    <t>U07</t>
  </si>
  <si>
    <t>P06</t>
  </si>
  <si>
    <t>PE</t>
  </si>
  <si>
    <t>Fulni-o, Aguas Belas / Itaiba</t>
  </si>
  <si>
    <t>Aug 2016 and Jun 2017; pooled</t>
  </si>
  <si>
    <t>PAI cardiovascular cohort adults</t>
  </si>
  <si>
    <t>NICACIO_U07</t>
  </si>
  <si>
    <t>Nicacio 2021</t>
  </si>
  <si>
    <t>https://journals.plos.org/plosntds/article?id=10.1371/journal.pntd.0009468</t>
  </si>
  <si>
    <t>U08</t>
  </si>
  <si>
    <t>Truka, Cabrobo</t>
  </si>
  <si>
    <t>June 2017</t>
  </si>
  <si>
    <t>NICACIO_U08</t>
  </si>
  <si>
    <t>U09</t>
  </si>
  <si>
    <t>Juazeiro urban non-Indigenous comparison</t>
  </si>
  <si>
    <t>NICACIO_U09</t>
  </si>
  <si>
    <t>U10</t>
  </si>
  <si>
    <t>P07</t>
  </si>
  <si>
    <t>RJ</t>
  </si>
  <si>
    <t>Rio de Janeiro city</t>
  </si>
  <si>
    <t>July-October 2018</t>
  </si>
  <si>
    <t>City residents</t>
  </si>
  <si>
    <t>PERISSE_RIO</t>
  </si>
  <si>
    <t>Perisse 2020</t>
  </si>
  <si>
    <t>https://journals.plos.org/plosone/article?id=10.1371/journal.pone.0243239</t>
  </si>
  <si>
    <t>U11</t>
  </si>
  <si>
    <t>P08</t>
  </si>
  <si>
    <t>AC</t>
  </si>
  <si>
    <t>Cruzeiro do Sul</t>
  </si>
  <si>
    <t>July 2015-June 2016</t>
  </si>
  <si>
    <t>Pregnant women</t>
  </si>
  <si>
    <t>RESTRICTED_POPULATION</t>
  </si>
  <si>
    <t>KANUNFRE_U11</t>
  </si>
  <si>
    <t>Kanunfre 2022</t>
  </si>
  <si>
    <t>https://pmc.ncbi.nlm.nih.gov/articles/PMC8993149/</t>
  </si>
  <si>
    <t>U12</t>
  </si>
  <si>
    <t>Unrelated newborns</t>
  </si>
  <si>
    <t>EXCLUDE_INFANT_INFECTION</t>
  </si>
  <si>
    <t>KANUNFRE_U12</t>
  </si>
  <si>
    <t>U13</t>
  </si>
  <si>
    <t>P09</t>
  </si>
  <si>
    <t>Feira de Santana, 30 sentinel areas</t>
  </si>
  <si>
    <t>Apr-Sep 2017 in tables; 2016/2017 in abstract</t>
  </si>
  <si>
    <t>Urban residents across living-condition strata</t>
  </si>
  <si>
    <t>TEIXEIRA_FEIRA</t>
  </si>
  <si>
    <t>Teixeira 2021</t>
  </si>
  <si>
    <t>https://journals.plos.org/plosntds/article?id=10.1371/journal.pntd.0009289</t>
  </si>
  <si>
    <t>U14</t>
  </si>
  <si>
    <t>P10</t>
  </si>
  <si>
    <t>Recife</t>
  </si>
  <si>
    <t>August 2018-February 2019</t>
  </si>
  <si>
    <t>Household residents</t>
  </si>
  <si>
    <t>BRAGA_RECIFE</t>
  </si>
  <si>
    <t>Braga 2023</t>
  </si>
  <si>
    <t>https://journals.plos.org/plosntds/article?id=10.1371/journal.pntd.0011270</t>
  </si>
  <si>
    <t>U15</t>
  </si>
  <si>
    <t>P11</t>
  </si>
  <si>
    <t>DF</t>
  </si>
  <si>
    <t>Sao Sebastiao administrative region, Federal District</t>
  </si>
  <si>
    <t>Feb-Mar 2020 and Oct 2020-Jan 2021; pooled</t>
  </si>
  <si>
    <t>Residents sampled from households</t>
  </si>
  <si>
    <t>NOBRE_DF</t>
  </si>
  <si>
    <t>Nobre 2025</t>
  </si>
  <si>
    <t>https://link.springer.com/article/10.1186/s12879-025-10516-2</t>
  </si>
  <si>
    <t>U16</t>
  </si>
  <si>
    <t>P12</t>
  </si>
  <si>
    <t>AP</t>
  </si>
  <si>
    <t>Macapa / HEMOAP</t>
  </si>
  <si>
    <t>2015</t>
  </si>
  <si>
    <t>Volunteer blood donors</t>
  </si>
  <si>
    <t>SLAVOV_U16</t>
  </si>
  <si>
    <t>Slavov 2018</t>
  </si>
  <si>
    <t>https://pubmed.ncbi.nlm.nih.gov/30370414/</t>
  </si>
  <si>
    <t>U17</t>
  </si>
  <si>
    <t>SP</t>
  </si>
  <si>
    <t>Ribeirao Preto blood centre</t>
  </si>
  <si>
    <t>2016</t>
  </si>
  <si>
    <t>SLAVOV_U17</t>
  </si>
  <si>
    <t>U18</t>
  </si>
  <si>
    <t>P13</t>
  </si>
  <si>
    <t>Federal District blood donors</t>
  </si>
  <si>
    <t>Early 2019 outbreak</t>
  </si>
  <si>
    <t>MENDES_DF</t>
  </si>
  <si>
    <t>Silva Mendes 2022</t>
  </si>
  <si>
    <t>https://onlinelibrary.wiley.com/doi/10.1111/tme.12870</t>
  </si>
  <si>
    <t>U19</t>
  </si>
  <si>
    <t>P14</t>
  </si>
  <si>
    <t>Alto do Cabrito, Salvador</t>
  </si>
  <si>
    <t>March-October 2018</t>
  </si>
  <si>
    <t>Residents in four informal settlements</t>
  </si>
  <si>
    <t>TRAVIS_SALVADOR</t>
  </si>
  <si>
    <t>Travis 2025</t>
  </si>
  <si>
    <t>https://pmc.ncbi.nlm.nih.gov/articles/PMC12440227/</t>
  </si>
  <si>
    <t>U20</t>
  </si>
  <si>
    <t>Marechal Rondon, Salvador</t>
  </si>
  <si>
    <t>U21</t>
  </si>
  <si>
    <t>Nova Constituinte, Salvador</t>
  </si>
  <si>
    <t>U22</t>
  </si>
  <si>
    <t>Rio Sena, Salvador</t>
  </si>
  <si>
    <t>U23</t>
  </si>
  <si>
    <t>Four Salvador communities pooled</t>
  </si>
  <si>
    <t>POOLED_DUPLICATE</t>
  </si>
  <si>
    <t>U24</t>
  </si>
  <si>
    <t>P15</t>
  </si>
  <si>
    <t>Simoes Filho</t>
  </si>
  <si>
    <t>Baseline enrolment 2018-2020; median follow-up 41 months</t>
  </si>
  <si>
    <t>Children in dengue-vaccine trial cohort</t>
  </si>
  <si>
    <t>Baseline IgG</t>
  </si>
  <si>
    <t>PEREIRA_PEDIATRIC</t>
  </si>
  <si>
    <t>Pereira 2025</t>
  </si>
  <si>
    <t>https://pmc.ncbi.nlm.nih.gov/articles/PMC12286324/</t>
  </si>
  <si>
    <t>U25</t>
  </si>
  <si>
    <t>P16</t>
  </si>
  <si>
    <t>Fortaleza endemic areas</t>
  </si>
  <si>
    <t>Baseline; cohort Feb 2018-Aug 2019; visit-specific range unverified</t>
  </si>
  <si>
    <t>Women, paired samples</t>
  </si>
  <si>
    <t>IgM or IgG (combined markers)</t>
  </si>
  <si>
    <t>NOGUEIRA_FORTALEZA_PAIRED</t>
  </si>
  <si>
    <t>Nogueira 2026</t>
  </si>
  <si>
    <t>https://pubmed.ncbi.nlm.nih.gov/42525035/</t>
  </si>
  <si>
    <t>U26</t>
  </si>
  <si>
    <t>First follow-up; cohort Feb 2018-Aug 2019; visit-specific range unverified</t>
  </si>
  <si>
    <t>U27</t>
  </si>
  <si>
    <t>P17</t>
  </si>
  <si>
    <t>MG</t>
  </si>
  <si>
    <t>Diamantina</t>
  </si>
  <si>
    <t>2018-2019</t>
  </si>
  <si>
    <t>Asymptomatic pregnant women</t>
  </si>
  <si>
    <t>IgM only</t>
  </si>
  <si>
    <t>RECENT_INFECTION_ONLY</t>
  </si>
  <si>
    <t>SANTOS_DIAMANTINA</t>
  </si>
  <si>
    <t>Santos 2023</t>
  </si>
  <si>
    <t>https://pubmed.ncbi.nlm.nih.gov/37454038/</t>
  </si>
  <si>
    <t>U28</t>
  </si>
  <si>
    <t>P18</t>
  </si>
  <si>
    <t>Salvador / IPERBA maternity hospital</t>
  </si>
  <si>
    <t>Collection dates not retrieved; publication 2023 is NOT sample date</t>
  </si>
  <si>
    <t>Immediate postpartum women</t>
  </si>
  <si>
    <t>HOLD_MISSING_DATE</t>
  </si>
  <si>
    <t>BASTOS_IPERBA</t>
  </si>
  <si>
    <t>Bastos Filho 2023</t>
  </si>
  <si>
    <t>https://www.sciencedirect.com/science/article/pii/S2772707623000954</t>
  </si>
  <si>
    <t>U29</t>
  </si>
  <si>
    <t>P19</t>
  </si>
  <si>
    <t>Jundiai Zika Cohort / Jundiai</t>
  </si>
  <si>
    <t>March 2016-April 2021</t>
  </si>
  <si>
    <t>High-risk pregnant women</t>
  </si>
  <si>
    <t>IgG reactive</t>
  </si>
  <si>
    <t>FAJARDO_JUNDIAI</t>
  </si>
  <si>
    <t>Fajardo 2025</t>
  </si>
  <si>
    <t>https://pubmed.ncbi.nlm.nih.gov/40638511/</t>
  </si>
  <si>
    <t>U30</t>
  </si>
  <si>
    <t>P20</t>
  </si>
  <si>
    <t>Vila Toninho, Sao Jose do Rio Preto</t>
  </si>
  <si>
    <t>Baseline: 2015-10 to 2016-03</t>
  </si>
  <si>
    <t>Resident cohort complete-follow-up subset</t>
  </si>
  <si>
    <t>LOCAL_LONGITUDINAL</t>
  </si>
  <si>
    <t>ZINI_VILA_TONINHO_PAIRED</t>
  </si>
  <si>
    <t>Zini 2024</t>
  </si>
  <si>
    <t>https://journals.plos.org/plosntds/article?id=10.1371/journal.pntd.0012013</t>
  </si>
  <si>
    <t>U31</t>
  </si>
  <si>
    <t>A01: 2016-10 to 2017-03</t>
  </si>
  <si>
    <t>U32</t>
  </si>
  <si>
    <t>A02: 2017-10 to 2018-03</t>
  </si>
  <si>
    <t>U33</t>
  </si>
  <si>
    <t>A03: 2018-10 to 2019-03</t>
  </si>
  <si>
    <t>U34</t>
  </si>
  <si>
    <t>Sao Jose do Rio Preto, dengue-suspected clinical panel</t>
  </si>
  <si>
    <t>2019</t>
  </si>
  <si>
    <t>Dengue-suspected patients</t>
  </si>
  <si>
    <t>IgM</t>
  </si>
  <si>
    <t>EXCLUDE_CLINICAL_POSITIVITY</t>
  </si>
  <si>
    <t>ZINI_CLINICAL_2019</t>
  </si>
  <si>
    <t>U35</t>
  </si>
  <si>
    <t>P21</t>
  </si>
  <si>
    <t>HEMORIO blood centre, Rio de Janeiro</t>
  </si>
  <si>
    <t>2019-2022 pooled</t>
  </si>
  <si>
    <t>Blood donations</t>
  </si>
  <si>
    <t>CHIKV prevalence; exact marker not recovered</t>
  </si>
  <si>
    <t>HOLD_ENDPOINT_DEFINITION</t>
  </si>
  <si>
    <t>SANTANNA_HEMORIO</t>
  </si>
  <si>
    <t>Sant'Anna 2024</t>
  </si>
  <si>
    <t>https://pubmed.ncbi.nlm.nih.gov/38970294/</t>
  </si>
  <si>
    <t>U36</t>
  </si>
  <si>
    <t>P22</t>
  </si>
  <si>
    <t>Saude</t>
  </si>
  <si>
    <t>2021-2022</t>
  </si>
  <si>
    <t>Town residents / field serum sample</t>
  </si>
  <si>
    <t>CHIKV IgG MIA</t>
  </si>
  <si>
    <t>WANG_SAUDE</t>
  </si>
  <si>
    <t>Wang 2026</t>
  </si>
  <si>
    <t>https://pmc.ncbi.nlm.nih.gov/articles/PMC13251372/</t>
  </si>
  <si>
    <t>Raw observations</t>
  </si>
  <si>
    <t>Primary-source aggregate values only. Blank numerator means not retrieved. IgG/IgM alternatives and validation subsets overlap; never pool all rows.</t>
  </si>
  <si>
    <t>observation_id</t>
  </si>
  <si>
    <t>reported_estimate_type</t>
  </si>
  <si>
    <t>assay</t>
  </si>
  <si>
    <t>preferred_endpoint_within_sample</t>
  </si>
  <si>
    <t>verification_level</t>
  </si>
  <si>
    <t>source_locator</t>
  </si>
  <si>
    <t>endpoint_overlap_note</t>
  </si>
  <si>
    <t>O001</t>
  </si>
  <si>
    <t>Unweighted reported percentage</t>
  </si>
  <si>
    <t>Euroimmun ELISA IgM/IgG</t>
  </si>
  <si>
    <t>PRIMARY_FULL_TEXT</t>
  </si>
  <si>
    <t>The Study; Table 1</t>
  </si>
  <si>
    <t>O002</t>
  </si>
  <si>
    <t>IgG only</t>
  </si>
  <si>
    <t>Euroimmun ELISA</t>
  </si>
  <si>
    <t>The Study</t>
  </si>
  <si>
    <t>Disjoint assay categories; total IgM-or-IgG endpoint already included.</t>
  </si>
  <si>
    <t>O003</t>
  </si>
  <si>
    <t>O004</t>
  </si>
  <si>
    <t>IgG and IgM</t>
  </si>
  <si>
    <t>O005</t>
  </si>
  <si>
    <t>O006</t>
  </si>
  <si>
    <t>O007</t>
  </si>
  <si>
    <t>O008</t>
  </si>
  <si>
    <t>O009</t>
  </si>
  <si>
    <t>Results</t>
  </si>
  <si>
    <t>Reported CI retained verbatim numerically; unusually asymmetric for 24/120, verify with authors.</t>
  </si>
  <si>
    <t>O010</t>
  </si>
  <si>
    <t>IgG positive (including dual positive)</t>
  </si>
  <si>
    <t>Euroimmun ELISA IgG</t>
  </si>
  <si>
    <t>Abstract / Results</t>
  </si>
  <si>
    <t>Same sera; overlaps IgM-or-IgG endpoint.</t>
  </si>
  <si>
    <t>O011</t>
  </si>
  <si>
    <t>IgM positive (including dual positive)</t>
  </si>
  <si>
    <t>Euroimmun ELISA IgM</t>
  </si>
  <si>
    <t>Same sera; four dual-positive specimens.</t>
  </si>
  <si>
    <t>O012</t>
  </si>
  <si>
    <t>Subset of both IgG and IgM endpoints.</t>
  </si>
  <si>
    <t>O013</t>
  </si>
  <si>
    <t>Household-adjusted confidence interval; reported prevalence</t>
  </si>
  <si>
    <t>Euroimmun IgG ELISA</t>
  </si>
  <si>
    <t>The Study / Results</t>
  </si>
  <si>
    <t>O014</t>
  </si>
  <si>
    <t>IgM among IgG-positive participants only</t>
  </si>
  <si>
    <t>InBios IgM ELISA</t>
  </si>
  <si>
    <t>Conditional subset; NOT 49/1772 and not an independent serosurvey.</t>
  </si>
  <si>
    <t>O015</t>
  </si>
  <si>
    <t>Results / Abstract</t>
  </si>
  <si>
    <t>Results 25.5%; abstract rounds to 25.0%. Raw 103/404 retained.</t>
  </si>
  <si>
    <t>O016</t>
  </si>
  <si>
    <t>ELISA; isotype details not retrieved</t>
  </si>
  <si>
    <t>PRIMARY_ABSTRACT</t>
  </si>
  <si>
    <t>Abstract</t>
  </si>
  <si>
    <t>Do NOT convert 70.7% to 289 positives without source confirmation.</t>
  </si>
  <si>
    <t>O017</t>
  </si>
  <si>
    <t>Results / Table 1</t>
  </si>
  <si>
    <t>O018</t>
  </si>
  <si>
    <t>O019</t>
  </si>
  <si>
    <t>O020</t>
  </si>
  <si>
    <t>Survey-weighted prevalence and confidence interval</t>
  </si>
  <si>
    <t>Rapid IgM/IgG test; BahiaFarma</t>
  </si>
  <si>
    <t>Results / Discussion</t>
  </si>
  <si>
    <t>Raw 371/2120 differs from weighted 18.0%; retain both.</t>
  </si>
  <si>
    <t>O021</t>
  </si>
  <si>
    <t>Commercial ELISA; manufacturer not retrieved</t>
  </si>
  <si>
    <t>PRIMARY_INDEXED_FULL_TEXT</t>
  </si>
  <si>
    <t>O022</t>
  </si>
  <si>
    <t>Commercial ELISA</t>
  </si>
  <si>
    <t>No IgM-positive samples; same participants.</t>
  </si>
  <si>
    <t>O023</t>
  </si>
  <si>
    <t>O024</t>
  </si>
  <si>
    <t>O025</t>
  </si>
  <si>
    <t>Population/sentinel-area estimate; no raw numerator recovered</t>
  </si>
  <si>
    <t>ELISA IgM/IgG; manufacturer not retrieved</t>
  </si>
  <si>
    <t>Results / Table 2</t>
  </si>
  <si>
    <t>Do not sum abstract component percentages; use reported overall estimate.</t>
  </si>
  <si>
    <t>O026</t>
  </si>
  <si>
    <t>O027</t>
  </si>
  <si>
    <t>Same sera; no numerator reconstructed.</t>
  </si>
  <si>
    <t>O028</t>
  </si>
  <si>
    <t>Euroimmun IgM ELISA</t>
  </si>
  <si>
    <t>Same sera; not cumulative exposure alone.</t>
  </si>
  <si>
    <t>O029</t>
  </si>
  <si>
    <t>Reported overall seroprevalence</t>
  </si>
  <si>
    <t>IgM: Vircell / DiaPro; IgG: Euroimmun / Mobius (phase dependent)</t>
  </si>
  <si>
    <t>Abstract / Methods</t>
  </si>
  <si>
    <t>Do not reconstruct 76 positives from rounded 5.4%.</t>
  </si>
  <si>
    <t>O030</t>
  </si>
  <si>
    <t>Anti-CHIKV IgG assay; platform/kit not retrieved</t>
  </si>
  <si>
    <t>O031</t>
  </si>
  <si>
    <t>O032</t>
  </si>
  <si>
    <t>ELISA; manufacturer not retrieved</t>
  </si>
  <si>
    <t>O033</t>
  </si>
  <si>
    <t>IgG overlap not reported; do not add positive counts.</t>
  </si>
  <si>
    <t>O034</t>
  </si>
  <si>
    <t>IgG ELISA; kit not retrieved</t>
  </si>
  <si>
    <t>O035</t>
  </si>
  <si>
    <t>O036</t>
  </si>
  <si>
    <t>O037</t>
  </si>
  <si>
    <t>O038</t>
  </si>
  <si>
    <t>O039</t>
  </si>
  <si>
    <t>IgG ELISA; manufacturer not retrieved</t>
  </si>
  <si>
    <t>Source rounds prevalence to 7%; raw 23/348 is 6.61%.</t>
  </si>
  <si>
    <t>O040</t>
  </si>
  <si>
    <t>ELISA IgM/IgG</t>
  </si>
  <si>
    <t>Antibody decline/seroreversion means two visits cannot be read as incident infections by subtraction.</t>
  </si>
  <si>
    <t>O041</t>
  </si>
  <si>
    <t>O042</t>
  </si>
  <si>
    <t>ELISA IgM; kit not retrieved</t>
  </si>
  <si>
    <t>Not a cumulative IgG exposure endpoint.</t>
  </si>
  <si>
    <t>O043</t>
  </si>
  <si>
    <t>ELISA IgG; kit not retrieved</t>
  </si>
  <si>
    <t>No numerator inferred from rounded 7.6%.</t>
  </si>
  <si>
    <t>O044</t>
  </si>
  <si>
    <t>IgG serology; kit not retrieved</t>
  </si>
  <si>
    <t>O045</t>
  </si>
  <si>
    <t>IgM/IgG-type antibodies during delivery</t>
  </si>
  <si>
    <t>IgM/IgG serology; kit not retrieved</t>
  </si>
  <si>
    <t>Overlap with seven IgG-reactive participants unclear; do not sum.</t>
  </si>
  <si>
    <t>O046</t>
  </si>
  <si>
    <t>IgG ELISA; PRNT80 performed on selected specimens only</t>
  </si>
  <si>
    <t>Reported percentage retained separately from formula-derived n/N; not PRNT-confirmed prevalence.</t>
  </si>
  <si>
    <t>O047</t>
  </si>
  <si>
    <t>O048</t>
  </si>
  <si>
    <t>O049</t>
  </si>
  <si>
    <t>O050</t>
  </si>
  <si>
    <t>ELISA IgM</t>
  </si>
  <si>
    <t>Auxiliary diagnostic positivity only.</t>
  </si>
  <si>
    <t>O051</t>
  </si>
  <si>
    <t>ELISA IgG</t>
  </si>
  <si>
    <t>Auxiliary; no numerator reconstructed from 8.6%.</t>
  </si>
  <si>
    <t>O052</t>
  </si>
  <si>
    <t>Serological assay; full definition not retrieved</t>
  </si>
  <si>
    <t>Do not label as IgG-only until full text confirms.</t>
  </si>
  <si>
    <t>O053</t>
  </si>
  <si>
    <t>Anti-CHIKV IgM</t>
  </si>
  <si>
    <t>Same donor panel; overlaps undefined main endpoint.</t>
  </si>
  <si>
    <t>O054</t>
  </si>
  <si>
    <t>Multiplex CHIKV VLP IgG MIA; 16/17 positive sera neutralization-verified</t>
  </si>
  <si>
    <t>Results: Arbovirus seroprevalence in Saude</t>
  </si>
  <si>
    <t>O055</t>
  </si>
  <si>
    <t>IgG ELISA</t>
  </si>
  <si>
    <t>Comparison of MIA and commercial kits</t>
  </si>
  <si>
    <t>Same 300 sera; no raw numerator inferred; assay-discordant results discussed in article.</t>
  </si>
  <si>
    <t>O056</t>
  </si>
  <si>
    <t>Neutralization-positive among MIA-positive sera with sufficient volume</t>
  </si>
  <si>
    <t>CHIKV neutralization</t>
  </si>
  <si>
    <t>Conditional validation subset, NOT population prevalence.</t>
  </si>
  <si>
    <t>Survey units</t>
  </si>
  <si>
    <t>Geographic/time metadata and eligibility cautions. Collection dates are not publication dates. No observation is assumed representative of an entire UF.</t>
  </si>
  <si>
    <t>collection_start</t>
  </si>
  <si>
    <t>collection_end</t>
  </si>
  <si>
    <t>date_precision</t>
  </si>
  <si>
    <t>collection_dates_as_reported</t>
  </si>
  <si>
    <t>age_range</t>
  </si>
  <si>
    <t>sampling_design</t>
  </si>
  <si>
    <t>representativeness</t>
  </si>
  <si>
    <t>cohort_or_overlap_id</t>
  </si>
  <si>
    <t>upstream_foi_overlap</t>
  </si>
  <si>
    <t>limitations</t>
  </si>
  <si>
    <t>2015-10</t>
  </si>
  <si>
    <t>2015-12</t>
  </si>
  <si>
    <t>MONTH_CONFLICT</t>
  </si>
  <si>
    <t>&gt;1 year; residence &gt;6 months</t>
  </si>
  <si>
    <t>Five high-incidence census tracts; one participant sampled per household</t>
  </si>
  <si>
    <t>Hotspot neighbourhoods; NOT municipality-wide</t>
  </si>
  <si>
    <t>Unknown; audit original FOI training data</t>
  </si>
  <si>
    <t>Collection-date descriptions differ within source; confirm exact range.</t>
  </si>
  <si>
    <t>2016-04</t>
  </si>
  <si>
    <t>MONTH</t>
  </si>
  <si>
    <t>Mean 36.6 years (SD 20.9)</t>
  </si>
  <si>
    <t>45 households selected from 505; 120 of 160 invited participated</t>
  </si>
  <si>
    <t>Rural district; not the urban hotspot in P01</t>
  </si>
  <si>
    <t>2016-11</t>
  </si>
  <si>
    <t>2017-02</t>
  </si>
  <si>
    <t>&gt;=5 years</t>
  </si>
  <si>
    <t>Household serosurvey</t>
  </si>
  <si>
    <t>Selected urban informal settlement, not Salvador city</t>
  </si>
  <si>
    <t>1,776 enrolled; 1,772 IgG results.</t>
  </si>
  <si>
    <t>2018-06</t>
  </si>
  <si>
    <t>2018-12</t>
  </si>
  <si>
    <t>All household members invited; exact lower age not retrieved</t>
  </si>
  <si>
    <t>Random geographic points allocated across neighbourhoods; nearest household</t>
  </si>
  <si>
    <t>Municipality urban household sample; not Ceara-wide</t>
  </si>
  <si>
    <t>Already used in user FOI work / existing anchor</t>
  </si>
  <si>
    <t>Household selection and nonresponse need design-aware analysis.</t>
  </si>
  <si>
    <t>YEAR_ONLY</t>
  </si>
  <si>
    <t>Not retrieved</t>
  </si>
  <si>
    <t>Cross-sectional seroepidemiological survey; full sampling frame not retrieved</t>
  </si>
  <si>
    <t>Local survey; municipality representativeness needs verification</t>
  </si>
  <si>
    <t>Do not reuse previously assumed 2018-2019 dates without original methods.</t>
  </si>
  <si>
    <t>2016-08</t>
  </si>
  <si>
    <t>2017-06</t>
  </si>
  <si>
    <t>DISCONTINUOUS</t>
  </si>
  <si>
    <t>30-70 years</t>
  </si>
  <si>
    <t>Cohort-selected Indigenous / urban comparison groups</t>
  </si>
  <si>
    <t>Restricted age/community cohort; NOT state representative</t>
  </si>
  <si>
    <t>Cardiovascular/renal exclusions; Fulni-o pooled collection rounds not separable.</t>
  </si>
  <si>
    <t>2018-07</t>
  </si>
  <si>
    <t>2018-10</t>
  </si>
  <si>
    <t>All ages; see original age strata</t>
  </si>
  <si>
    <t>Administrative-region stratified household survey; design/nonresponse weights</t>
  </si>
  <si>
    <t>City population-based; NOT Rio de Janeiro state</t>
  </si>
  <si>
    <t>2015-07</t>
  </si>
  <si>
    <t>2016-06</t>
  </si>
  <si>
    <t>Pregnant women; age range not retrieved</t>
  </si>
  <si>
    <t>MINA cohort / antenatal units</t>
  </si>
  <si>
    <t>Maternal/infant cohort; not general population</t>
  </si>
  <si>
    <t>Newborn</t>
  </si>
  <si>
    <t>Newborn IgG can reflect maternal antibodies; cannot anchor infant infection burden.</t>
  </si>
  <si>
    <t>2017-04</t>
  </si>
  <si>
    <t>2017-09</t>
  </si>
  <si>
    <t>All ages; exact minimum not retrieved</t>
  </si>
  <si>
    <t>Random sample in 30 sentinel areas across living-condition strata</t>
  </si>
  <si>
    <t>Broad city sample with sentinel-area design; NOT state representative</t>
  </si>
  <si>
    <t>Do not treat as same survey as P01 hotspot; dates and sampling differ.</t>
  </si>
  <si>
    <t>2018-08</t>
  </si>
  <si>
    <t>2019-02</t>
  </si>
  <si>
    <t>5-65 years</t>
  </si>
  <si>
    <t>Stratified random household survey by socioeconomic level</t>
  </si>
  <si>
    <t>City population-based; NOT Pernambuco-wide</t>
  </si>
  <si>
    <t>2020-02</t>
  </si>
  <si>
    <t>2021-01</t>
  </si>
  <si>
    <t>Invited &gt;=5 years; results describe ages 18-87; verify</t>
  </si>
  <si>
    <t>Random household survey in two pandemic-separated phases</t>
  </si>
  <si>
    <t>Administrative region, including area later Jardin Botanico; NOT entire DF</t>
  </si>
  <si>
    <t>Assay brands changed between phases; exact age frame and numerator need verification.</t>
  </si>
  <si>
    <t>Donation-eligible; exact ages not retrieved</t>
  </si>
  <si>
    <t>Blood donation sample</t>
  </si>
  <si>
    <t>Healthy donor population only</t>
  </si>
  <si>
    <t>YEAR_QUALIFIED</t>
  </si>
  <si>
    <t>450 volunteer donations</t>
  </si>
  <si>
    <t>Donor population only</t>
  </si>
  <si>
    <t>2018-03</t>
  </si>
  <si>
    <t>&gt;=5 years; resident &gt;=6 months</t>
  </si>
  <si>
    <t>Community census / household recruitment</t>
  </si>
  <si>
    <t>Selected neighbourhoods only</t>
  </si>
  <si>
    <t>Pooled U23 duplicates U19-U22; 1,318 samples, 1,316 conclusive IgG results.</t>
  </si>
  <si>
    <t>2018</t>
  </si>
  <si>
    <t>2020</t>
  </si>
  <si>
    <t>ENROLMENT_WINDOW</t>
  </si>
  <si>
    <t>2-17 years</t>
  </si>
  <si>
    <t>Nested prospective pediatric cohort; baseline serology</t>
  </si>
  <si>
    <t>Pediatric trial cohort only</t>
  </si>
  <si>
    <t>23 baseline positive; do not treat 53 incident mixed-diagnostic infections as endpoint seroprevalence.</t>
  </si>
  <si>
    <t>2018-02</t>
  </si>
  <si>
    <t>2019-08</t>
  </si>
  <si>
    <t>COHORT_WINDOW_NOT_VISIT_DATE</t>
  </si>
  <si>
    <t>15-39 years</t>
  </si>
  <si>
    <t>Longitudinal female cohort after 2017 outbreak</t>
  </si>
  <si>
    <t>Women in endemic areas, NOT all Fortaleza residents</t>
  </si>
  <si>
    <t>Same 559 women at two visits; do not treat visits as independent.</t>
  </si>
  <si>
    <t>YEAR_RANGE</t>
  </si>
  <si>
    <t>Adult pregnant cohort; range not retrieved</t>
  </si>
  <si>
    <t>Antenatal cohort</t>
  </si>
  <si>
    <t>Restricted pregnancy sample; IgM only</t>
  </si>
  <si>
    <t>NOT_RETRIEVED</t>
  </si>
  <si>
    <t>Median 26 years; IQR 21-33</t>
  </si>
  <si>
    <t>Hospital cross-sectional maternity sample</t>
  </si>
  <si>
    <t>Hospital-selected women only</t>
  </si>
  <si>
    <t>2016-03</t>
  </si>
  <si>
    <t>2021-04</t>
  </si>
  <si>
    <t>Range not retrieved</t>
  </si>
  <si>
    <t>Clinical pregnancy cohort</t>
  </si>
  <si>
    <t>High-risk pregnancy sample; recruitment catchment needs confirmation</t>
  </si>
  <si>
    <t>No year-disaggregated data recovered; Jundiai identified through named cohort and affiliations.</t>
  </si>
  <si>
    <t>&gt;=10 years</t>
  </si>
  <si>
    <t>1,517 enrolled; 341 completed all four visits</t>
  </si>
  <si>
    <t>Neighbourhood cohort; strong complete-case selection</t>
  </si>
  <si>
    <t>Same persons across visits; source rounding differs from raw fractions.</t>
  </si>
  <si>
    <t>2016-10</t>
  </si>
  <si>
    <t>2017-03</t>
  </si>
  <si>
    <t>2017-10</t>
  </si>
  <si>
    <t>2019-03</t>
  </si>
  <si>
    <t>Separate clinical diagnostic panel</t>
  </si>
  <si>
    <t>Clinical test positivity, not community prevalence</t>
  </si>
  <si>
    <t>2022</t>
  </si>
  <si>
    <t>Donation-eligible; range not retrieved</t>
  </si>
  <si>
    <t>Serological/molecular screening of donations</t>
  </si>
  <si>
    <t>Donor sample only; pooled over four years</t>
  </si>
  <si>
    <t>2021</t>
  </si>
  <si>
    <t>11-91 years; mean 42.1</t>
  </si>
  <si>
    <t>300 field sera; exact probability-sampling frame not retrieved</t>
  </si>
  <si>
    <t>Local sample; not established town-representative</t>
  </si>
  <si>
    <t>16/17 CHIKV-MIA-positive sera had enough volume for neutralization; all 16 confirmed.</t>
  </si>
  <si>
    <t>Age strata</t>
  </si>
  <si>
    <t>Only directly recovered age-specific counts. Nested in parent samples; not additional independent observations. Original age labels retained.</t>
  </si>
  <si>
    <t>stratum_id</t>
  </si>
  <si>
    <t>age_group_as_reported</t>
  </si>
  <si>
    <t>notes</t>
  </si>
  <si>
    <t>A001</t>
  </si>
  <si>
    <t>1-19</t>
  </si>
  <si>
    <t>Table 1</t>
  </si>
  <si>
    <t>Preserve age label &gt;60 as printed.</t>
  </si>
  <si>
    <t>A002</t>
  </si>
  <si>
    <t>20-39</t>
  </si>
  <si>
    <t>A003</t>
  </si>
  <si>
    <t>40-59</t>
  </si>
  <si>
    <t>A004</t>
  </si>
  <si>
    <t>&gt;60</t>
  </si>
  <si>
    <t>A005</t>
  </si>
  <si>
    <t>A006</t>
  </si>
  <si>
    <t>A007</t>
  </si>
  <si>
    <t>A008</t>
  </si>
  <si>
    <t>A009</t>
  </si>
  <si>
    <t>5-15</t>
  </si>
  <si>
    <t>Pooled four communities; age denominators sum to 1,307, not 1,316. Preserve source &gt;66 label.</t>
  </si>
  <si>
    <t>A010</t>
  </si>
  <si>
    <t>16-25</t>
  </si>
  <si>
    <t>A011</t>
  </si>
  <si>
    <t>26-45</t>
  </si>
  <si>
    <t>A012</t>
  </si>
  <si>
    <t>46-65</t>
  </si>
  <si>
    <t>A013</t>
  </si>
  <si>
    <t>&gt;66</t>
  </si>
  <si>
    <t>A014</t>
  </si>
  <si>
    <t>15-24</t>
  </si>
  <si>
    <t>Age strata refer to baseline.</t>
  </si>
  <si>
    <t>A015</t>
  </si>
  <si>
    <t>25-39</t>
  </si>
  <si>
    <t>Sources</t>
  </si>
  <si>
    <t>Primary articles with data extracted; accented place names transliterated for code compatibility. Exact membership of the Cortes 12-study input is NOT verified.</t>
  </si>
  <si>
    <t>first_author</t>
  </si>
  <si>
    <t>publication_year</t>
  </si>
  <si>
    <t>title</t>
  </si>
  <si>
    <t>doi</t>
  </si>
  <si>
    <t>primary_url</t>
  </si>
  <si>
    <t>kang_bibliography_ref</t>
  </si>
  <si>
    <t>cortes_input_membership</t>
  </si>
  <si>
    <t>public_data_url</t>
  </si>
  <si>
    <t>access_notes</t>
  </si>
  <si>
    <t>accessed_on</t>
  </si>
  <si>
    <t>title_status</t>
  </si>
  <si>
    <t>Dias</t>
  </si>
  <si>
    <t>Seroprevalence of Chikungunya Virus after Its Emergence in Brazil</t>
  </si>
  <si>
    <t>10.3201/eid2404.171370</t>
  </si>
  <si>
    <t>51</t>
  </si>
  <si>
    <t>UNVERIFIED: complete 12-study input list not retrieved</t>
  </si>
  <si>
    <t>Age counts in Table 1.</t>
  </si>
  <si>
    <t>2026-09-10</t>
  </si>
  <si>
    <t>SOURCE_TITLE_ASCII_TRANSLITERATION</t>
  </si>
  <si>
    <t>Cunha</t>
  </si>
  <si>
    <t>Seroprevalence of Chikungunya Virus in a Rural Community in Brazil</t>
  </si>
  <si>
    <t>10.1371/journal.pntd.0005319</t>
  </si>
  <si>
    <t>58</t>
  </si>
  <si>
    <t>https://journals.plos.org/plosntds/article/file?type=supplementary&amp;id=10.1371/journal.pntd.0005319.s002</t>
  </si>
  <si>
    <t>Anjos</t>
  </si>
  <si>
    <t>Transmission of Chikungunya Virus in an Urban Slum, Brazil</t>
  </si>
  <si>
    <t>10.3201/eid2607.190846</t>
  </si>
  <si>
    <t>57</t>
  </si>
  <si>
    <t>Barreto</t>
  </si>
  <si>
    <t>Seroprevalence, spatial dispersion and factors associated with flavivirus and chikungunya infection in a risk area: a population-based seroprevalence study in Brazil</t>
  </si>
  <si>
    <t>10.1186/s12879-020-05611-5</t>
  </si>
  <si>
    <t>48</t>
  </si>
  <si>
    <t>Braga</t>
  </si>
  <si>
    <t>Seroepidemiological survey on chikungunya in endemic zones for arboviruses in Brazil, 2019</t>
  </si>
  <si>
    <t>10.1111/zph.12888</t>
  </si>
  <si>
    <t>46</t>
  </si>
  <si>
    <t>Raw 289 positives from previous user work not independently recovered; left blank.</t>
  </si>
  <si>
    <t>Nicacio</t>
  </si>
  <si>
    <t>Anti-chikungunya virus seroprevalence in Indigenous groups in the Sao Francisco Valley, Brazil</t>
  </si>
  <si>
    <t>10.1371/journal.pntd.0009468</t>
  </si>
  <si>
    <t>56</t>
  </si>
  <si>
    <t>Perisse</t>
  </si>
  <si>
    <t>Zika, dengue and chikungunya population prevalence in Rio de Janeiro city, Brazil, and the importance of seroprevalence studies to estimate the real number of infected individuals</t>
  </si>
  <si>
    <t>10.1371/journal.pone.0243239</t>
  </si>
  <si>
    <t>61</t>
  </si>
  <si>
    <t>Participant data subject to Ministry of Health request.</t>
  </si>
  <si>
    <t>Kanunfre</t>
  </si>
  <si>
    <t>Silent circulation of Chikungunya virus among pregnant women and newborns in the Western Brazilian Amazon before the first outbreak of chikungunya fever</t>
  </si>
  <si>
    <t>10.1590/S1678-9946202264025</t>
  </si>
  <si>
    <t>52</t>
  </si>
  <si>
    <t>Teixeira</t>
  </si>
  <si>
    <t>Seroprevalence of Chikungunya virus and living conditions in Feira de Santana, Bahia-Brazil</t>
  </si>
  <si>
    <t>10.1371/journal.pntd.0009289</t>
  </si>
  <si>
    <t>Abstract describes 2016/2017; tables identify Apr-Sep 2017. Component percentages differ from overall result.</t>
  </si>
  <si>
    <t>Seroprevalence of Dengue, Chikungunya and Zika at the epicenter of the congenital microcephaly epidemic in Northeast Brazil: a population-based survey</t>
  </si>
  <si>
    <t>10.1371/journal.pntd.0011270</t>
  </si>
  <si>
    <t>Post-2022 publication; prior preprint is same survey.</t>
  </si>
  <si>
    <t>Nobre</t>
  </si>
  <si>
    <t>Seroprevalence of dengue, Zika, and chikungunya in Sao Sebastiao, Brazil (2020-2021): a population-based survey</t>
  </si>
  <si>
    <t>10.1186/s12879-025-10516-2</t>
  </si>
  <si>
    <t>Slavov</t>
  </si>
  <si>
    <t>Seroprevalence of Chikungunya virus in blood donors from Northern and Southeastern Brazil</t>
  </si>
  <si>
    <t>10.1016/j.htct.2018.04.002</t>
  </si>
  <si>
    <t>Silva Mendes</t>
  </si>
  <si>
    <t>Chikungunya virus seroprevalence in asymptomatic blood donors during an outbreak in the Federal District of Brazil</t>
  </si>
  <si>
    <t>10.1111/tme.12870</t>
  </si>
  <si>
    <t>Travis</t>
  </si>
  <si>
    <t>Topography and environmental deficiencies are associated with chikungunya virus exposure in urban informal settlements in Salvador, Brazil</t>
  </si>
  <si>
    <t>10.1371/journal.pntd.0013477</t>
  </si>
  <si>
    <t>https://osf.io/4f975/</t>
  </si>
  <si>
    <t>Final article replaces 2024 preprint; use final sample counts only.</t>
  </si>
  <si>
    <t>Pereira</t>
  </si>
  <si>
    <t>Chikungunya in a pediatric cohort: Asymptomatic infection, seroconversion, and chronicity rates</t>
  </si>
  <si>
    <t>10.1371/journal.pntd.0013254</t>
  </si>
  <si>
    <t>Cohort nested in Butantan DEN-03.</t>
  </si>
  <si>
    <t>Nogueira</t>
  </si>
  <si>
    <t>Kinetics of IgG-specific antibodies against chikungunya virus in a female cohort study in Brazil, 2018-2019</t>
  </si>
  <si>
    <t>10.1590/1413-81232026316.08432023</t>
  </si>
  <si>
    <t>2026 volume; PubMed reports online date 2025-05-16. Abstract prevalence combines IgM/IgG despite IgG in title.</t>
  </si>
  <si>
    <t>Santos</t>
  </si>
  <si>
    <t>Seroprevalence of Dengue, Chikungunya, and Zika viruses antibodies in a cohort of asymptomatic pregnant women in a low-income region of Minas Gerais, Brazil, 2018-2019</t>
  </si>
  <si>
    <t>10.1007/s42770-023-01054-7</t>
  </si>
  <si>
    <t>Bastos Filho</t>
  </si>
  <si>
    <t>High seroprevalence of antibodies against arboviruses in postpartum women in Salvador, Brazil</t>
  </si>
  <si>
    <t>10.1016/j.ijregi.2023.09.004</t>
  </si>
  <si>
    <t>Collection period not recovered; obtain full methods before time-specific use.</t>
  </si>
  <si>
    <t>Fajardo</t>
  </si>
  <si>
    <t>Serology survey of chikungunya virus in high-risk pregnant women and placental tissue findings</t>
  </si>
  <si>
    <t>10.1590/S1678-9946202567043</t>
  </si>
  <si>
    <t>Zini</t>
  </si>
  <si>
    <t>Cryptic circulation of chikungunya virus in Sao Jose do Rio Preto, Brazil, 2015-2019</t>
  </si>
  <si>
    <t>10.1371/journal.pntd.0012013</t>
  </si>
  <si>
    <t>Same 341 complete-follow-up participants across four visits.</t>
  </si>
  <si>
    <t>Sant'Anna</t>
  </si>
  <si>
    <t>Urban arbovirus exposure in blood donations from an endemic area of Brazil</t>
  </si>
  <si>
    <t>10.1111/vox.13707</t>
  </si>
  <si>
    <t>CHIKV prevalence 21.3% marker definition needs full text; IgM 4.7% separately reported.</t>
  </si>
  <si>
    <t>Wang</t>
  </si>
  <si>
    <t>Identification of multiple arbovirus infections/exposure in Northeastern Brazil using a multiplex microsphere immunoassay</t>
  </si>
  <si>
    <t>10.1128/jcm.00013-26</t>
  </si>
  <si>
    <t>Online 2026-04-30; final issue 2026-06-10. Field survey separated from 374 diagnostic-control sera.</t>
  </si>
  <si>
    <t>Review trace</t>
  </si>
  <si>
    <t>Requested seed-paper tracing. Bibliography citation, primary-value verification, and confirmed model input are different provenance levels.</t>
  </si>
  <si>
    <t>seed</t>
  </si>
  <si>
    <t>seed_doi</t>
  </si>
  <si>
    <t>relationship</t>
  </si>
  <si>
    <t>reference_number</t>
  </si>
  <si>
    <t>provenance_url</t>
  </si>
  <si>
    <t>primary_verification</t>
  </si>
  <si>
    <t>limitation</t>
  </si>
  <si>
    <t>Kang 2024</t>
  </si>
  <si>
    <t>10.1016/S1473-3099(23)00810-1</t>
  </si>
  <si>
    <t>Bibliography citation recovered; exact analytic inclusion unverified</t>
  </si>
  <si>
    <t>https://ouci.dntb.gov.ua/en/works/9jKNnwg7/</t>
  </si>
  <si>
    <t>Review supplement/extraction table not retrieved. Reference index used only for tracing; values taken from primary paper.</t>
  </si>
  <si>
    <t>Cortes-Azuero 2025/2026</t>
  </si>
  <si>
    <t>10.1016/S1473-3099(25)00605-X</t>
  </si>
  <si>
    <t>Reports 12 serosurveys; complete per-study input crosswalk unavailable</t>
  </si>
  <si>
    <t>https://www.sciencedirect.com/science/article/pii/S147330992500605X</t>
  </si>
  <si>
    <t>https://www.repository.cam.ac.uk/bitstreams/408344bf-59de-47d1-8932-603310dbd0b3/download</t>
  </si>
  <si>
    <t>Do NOT claim all inventory rows were included in this study or that all 12 were recovered.</t>
  </si>
  <si>
    <t>Author code/data repository identified, directory files not retrieved</t>
  </si>
  <si>
    <t>https://github.com/ocortesazuero/CHIKV_FOI_Brazil</t>
  </si>
  <si>
    <t>Need original 1_Data serosurvey table and study IDs to complete exact replication.</t>
  </si>
  <si>
    <t>Author repository identified; exact extraction input not retrieved</t>
  </si>
  <si>
    <t>https://github.com/hyolimkang/CHIK</t>
  </si>
  <si>
    <t>https://pubmed.ncbi.nlm.nih.gov/38342105/</t>
  </si>
  <si>
    <t>FOI_estimation / Meta files needed for exact inclusion and age-stratum crosswalk.</t>
  </si>
  <si>
    <t>Cortes-Azuero upstream review</t>
  </si>
  <si>
    <t>10.1038/s41591-025-03703-w</t>
  </si>
  <si>
    <t>Ribeiro dos Santos 2025 supplementary source inventory identified</t>
  </si>
  <si>
    <t>https://www.nature.com/articles/s41591-025-03703-w</t>
  </si>
  <si>
    <t>https://github.com/G-ribeiro-dos-santos/chik-global-burden</t>
  </si>
  <si>
    <t>Supplementary Table 2 inaccessible in this session; candidate source route, not raw observation.</t>
  </si>
  <si>
    <t>UF coverage</t>
  </si>
  <si>
    <t>Coverage of this inventory, not a completeness claim. A study located in a UF does not constitute a representative UF-wide serosurvey.</t>
  </si>
  <si>
    <t>state_name</t>
  </si>
  <si>
    <t>macroregion</t>
  </si>
  <si>
    <t>source_papers</t>
  </si>
  <si>
    <t>sample_site_time_records</t>
  </si>
  <si>
    <t>local_population_priority_records</t>
  </si>
  <si>
    <t>has_state_representative_survey</t>
  </si>
  <si>
    <t>source_ids</t>
  </si>
  <si>
    <t>coverage_note</t>
  </si>
  <si>
    <t>Acre</t>
  </si>
  <si>
    <t>North</t>
  </si>
  <si>
    <t>NOT ESTABLISHED</t>
  </si>
  <si>
    <t>Contains local / selected samples only; no whole-state estimate established.</t>
  </si>
  <si>
    <t>AL</t>
  </si>
  <si>
    <t>Alagoas</t>
  </si>
  <si>
    <t>Northeast</t>
  </si>
  <si>
    <t>No extractable observation identified in this search; NOT evidence that no survey exists.</t>
  </si>
  <si>
    <t>Amapa</t>
  </si>
  <si>
    <t>AM</t>
  </si>
  <si>
    <t>Amazonas</t>
  </si>
  <si>
    <t>Bahia</t>
  </si>
  <si>
    <t>P01; P02; P03; P06; P09; P14; P15; P18; P22</t>
  </si>
  <si>
    <t>Ceara</t>
  </si>
  <si>
    <t>P04; P05; P16</t>
  </si>
  <si>
    <t>Distrito Federal</t>
  </si>
  <si>
    <t>Central-West</t>
  </si>
  <si>
    <t>P11; P13</t>
  </si>
  <si>
    <t>ES</t>
  </si>
  <si>
    <t>Espirito Santo</t>
  </si>
  <si>
    <t>Southeast</t>
  </si>
  <si>
    <t>GO</t>
  </si>
  <si>
    <t>Goias</t>
  </si>
  <si>
    <t>MA</t>
  </si>
  <si>
    <t>Maranhao</t>
  </si>
  <si>
    <t>MT</t>
  </si>
  <si>
    <t>Mato Grosso</t>
  </si>
  <si>
    <t>MS</t>
  </si>
  <si>
    <t>Mato Grosso do Sul</t>
  </si>
  <si>
    <t>Minas Gerais</t>
  </si>
  <si>
    <t>PA</t>
  </si>
  <si>
    <t>Para</t>
  </si>
  <si>
    <t>PB</t>
  </si>
  <si>
    <t>Paraiba</t>
  </si>
  <si>
    <t>PR</t>
  </si>
  <si>
    <t>Parana</t>
  </si>
  <si>
    <t>South</t>
  </si>
  <si>
    <t>Pernambuco</t>
  </si>
  <si>
    <t>P06; P10</t>
  </si>
  <si>
    <t>PI</t>
  </si>
  <si>
    <t>Piaui</t>
  </si>
  <si>
    <t>Rio de Janeiro</t>
  </si>
  <si>
    <t>P07; P21</t>
  </si>
  <si>
    <t>RN</t>
  </si>
  <si>
    <t>Rio Grande do Norte</t>
  </si>
  <si>
    <t>RS</t>
  </si>
  <si>
    <t>Rio Grande do Sul</t>
  </si>
  <si>
    <t>RO</t>
  </si>
  <si>
    <t>Rondonia</t>
  </si>
  <si>
    <t>RR</t>
  </si>
  <si>
    <t>Roraima</t>
  </si>
  <si>
    <t>SC</t>
  </si>
  <si>
    <t>Santa Catarina</t>
  </si>
  <si>
    <t>Sao Paulo</t>
  </si>
  <si>
    <t>P12; P19; P20</t>
  </si>
  <si>
    <t>SE</t>
  </si>
  <si>
    <t>Sergipe</t>
  </si>
  <si>
    <t>TO</t>
  </si>
  <si>
    <t>Tocantins</t>
  </si>
  <si>
    <t>Gaps exclusions</t>
  </si>
  <si>
    <t>Actionable missing data, duplicate rules, selection limitations and excluded sources. No missing value was filled by guessing.</t>
  </si>
  <si>
    <t>issue_id</t>
  </si>
  <si>
    <t>issue_type</t>
  </si>
  <si>
    <t>affected_ids</t>
  </si>
  <si>
    <t>item</t>
  </si>
  <si>
    <t>reason</t>
  </si>
  <si>
    <t>next_action</t>
  </si>
  <si>
    <t>G01</t>
  </si>
  <si>
    <t>REVIEW_INPUT_GAP</t>
  </si>
  <si>
    <t>All</t>
  </si>
  <si>
    <t>Cortes-Azuero exact 12 serosurveys</t>
  </si>
  <si>
    <t>Complete supplementary input list not recovered</t>
  </si>
  <si>
    <t>Obtain author repository 1_Data serology table; crosswalk DOI/site/date/age rows.</t>
  </si>
  <si>
    <t>G02</t>
  </si>
  <si>
    <t>P01-P08</t>
  </si>
  <si>
    <t>Kang analytic inclusion</t>
  </si>
  <si>
    <t>Eight bibliographic primary citations verified only at citation level</t>
  </si>
  <si>
    <t>Check original review extraction sheet; citation alone is not inclusion.</t>
  </si>
  <si>
    <t>G03</t>
  </si>
  <si>
    <t>EXISTING_ANCHOR</t>
  </si>
  <si>
    <t>U05; U06</t>
  </si>
  <si>
    <t>Juazeiro / Quixada</t>
  </si>
  <si>
    <t>User indicates both entered upstream FOI mapping</t>
  </si>
  <si>
    <t>Treat as reused evidence unless leave-study-out FOI is available.</t>
  </si>
  <si>
    <t>G04</t>
  </si>
  <si>
    <t>DUPLICATE</t>
  </si>
  <si>
    <t>U19-U23</t>
  </si>
  <si>
    <t>Salvador pooled vs four communities</t>
  </si>
  <si>
    <t>U23 equals the four community samples</t>
  </si>
  <si>
    <t>Choose pooled OR disaggregated sites; never include both.</t>
  </si>
  <si>
    <t>G05</t>
  </si>
  <si>
    <t>REPEATED_PEOPLE</t>
  </si>
  <si>
    <t>U25-U26; U30-U33</t>
  </si>
  <si>
    <t>Longitudinal cohorts</t>
  </si>
  <si>
    <t>Paired visits share participants</t>
  </si>
  <si>
    <t>Retain cohort ID; do not stack as independent binomial surveys.</t>
  </si>
  <si>
    <t>G06</t>
  </si>
  <si>
    <t>ASSAY_OVERLAP</t>
  </si>
  <si>
    <t>Multiple</t>
  </si>
  <si>
    <t>IgG / IgM / dual-positive endpoints</t>
  </si>
  <si>
    <t>Same sera and overlapping endpoints</t>
  </si>
  <si>
    <t>Select one endpoint for a given analysis or model jointly; do not sum.</t>
  </si>
  <si>
    <t>G07</t>
  </si>
  <si>
    <t>EXCLUDE_INFANT_EXPOSURE</t>
  </si>
  <si>
    <t>Newborn IgG</t>
  </si>
  <si>
    <t>Passive maternal IgG may explain seropositivity</t>
  </si>
  <si>
    <t>Do not interpret as infant infection; use maternal evidence only if justified.</t>
  </si>
  <si>
    <t>G08</t>
  </si>
  <si>
    <t>LIMITED_ENDPOINT</t>
  </si>
  <si>
    <t>U27; U34</t>
  </si>
  <si>
    <t>IgM-only / clinical panel</t>
  </si>
  <si>
    <t>Recent-infection or illness-selected data do not estimate cumulative community exposure</t>
  </si>
  <si>
    <t>Keep auxiliary; not main cumulative serology anchors.</t>
  </si>
  <si>
    <t>G09</t>
  </si>
  <si>
    <t>DATE_GAP</t>
  </si>
  <si>
    <t>Salvador postpartum dates</t>
  </si>
  <si>
    <t>Sampling period not retrieved</t>
  </si>
  <si>
    <t>Retrieve original methods or contact corresponding author.</t>
  </si>
  <si>
    <t>https://doi.org/10.1016/j.ijregi.2023.09.004</t>
  </si>
  <si>
    <t>G10</t>
  </si>
  <si>
    <t>NUMERATOR_GAP</t>
  </si>
  <si>
    <t>U06; U13; U15; U28; U35</t>
  </si>
  <si>
    <t>Percentages without verified n-positive</t>
  </si>
  <si>
    <t>Rounded/weighted percentages cannot recover exact numerator</t>
  </si>
  <si>
    <t>Leave blank; request raw counts/design-aware SE. Do not multiply n by prevalence and round.</t>
  </si>
  <si>
    <t>G11</t>
  </si>
  <si>
    <t>ASSAY_GAP</t>
  </si>
  <si>
    <t>HEMORIO main CHIKV endpoint</t>
  </si>
  <si>
    <t>Abstract reports 21.3% without unambiguous marker definition</t>
  </si>
  <si>
    <t>Obtain full text before using as cumulative IgG anchor.</t>
  </si>
  <si>
    <t>https://doi.org/10.1111/vox.13707</t>
  </si>
  <si>
    <t>G12</t>
  </si>
  <si>
    <t>SOURCE_CONFLICT</t>
  </si>
  <si>
    <t>U03; U13; U30-U33</t>
  </si>
  <si>
    <t>CI / percentage / dates</t>
  </si>
  <si>
    <t>Source values and raw fractions or date text differ</t>
  </si>
  <si>
    <t>Preserve source figures and document; do not silently correct.</t>
  </si>
  <si>
    <t>G13</t>
  </si>
  <si>
    <t>PREPRINT_DUPLICATE</t>
  </si>
  <si>
    <t>P10; P14</t>
  </si>
  <si>
    <t>Recife and Salvador preprints</t>
  </si>
  <si>
    <t>Same cohorts as final papers; Salvador sample counts changed</t>
  </si>
  <si>
    <t>Use final publications only.</t>
  </si>
  <si>
    <t>https://doi.org/10.1101/2024.05.02.24306518</t>
  </si>
  <si>
    <t>G14</t>
  </si>
  <si>
    <t>LETTER_DUPLICATE</t>
  </si>
  <si>
    <t>2018 EID letter / reply</t>
  </si>
  <si>
    <t>No new independent serosurvey</t>
  </si>
  <si>
    <t>Do not add to sample count.</t>
  </si>
  <si>
    <t>https://doi.org/10.3201/eid2409.180724</t>
  </si>
  <si>
    <t>G15</t>
  </si>
  <si>
    <t>FOLLOWUP_NOT_CROSS_SECTION</t>
  </si>
  <si>
    <t>53 incident infections</t>
  </si>
  <si>
    <t>25 RNA + 28 serology; denominators 325 vs 311 differ by analysis</t>
  </si>
  <si>
    <t>Retrieve individual follow-up/seroconversion data; do not treat 53 as endpoint IgG-positive count.</t>
  </si>
  <si>
    <t>https://doi.org/10.1371/journal.pntd.0013254</t>
  </si>
  <si>
    <t>G16</t>
  </si>
  <si>
    <t>EXCLUDE_MODEL_ESTIMATE</t>
  </si>
  <si>
    <t>Published FOI / S estimates</t>
  </si>
  <si>
    <t>Model outputs are not primary serological measurements</t>
  </si>
  <si>
    <t>Use only source serosurveys, not published model-derived S as raw data.</t>
  </si>
  <si>
    <t>G17</t>
  </si>
  <si>
    <t>EXCLUDE_RNAEMIA</t>
  </si>
  <si>
    <t>Grebe 2026 donor surveillance, 2019-2021</t>
  </si>
  <si>
    <t>10.1111/vox.70150 measures RNAemia rather than antibody seroprevalence</t>
  </si>
  <si>
    <t>Possible incidence evidence, but excluded from core seroprevalence observations.</t>
  </si>
  <si>
    <t>https://onlinelibrary.wiley.com/doi/full/10.1111/vox.70150</t>
  </si>
  <si>
    <t>G18</t>
  </si>
  <si>
    <t>EXCLUDE_WRONG_ENDPOINT</t>
  </si>
  <si>
    <t>EID 2026 active surveillance</t>
  </si>
  <si>
    <t>10.3201/eid3204.250942 has CHIKV incidence; seroprevalence endpoint is primarily dengue</t>
  </si>
  <si>
    <t>Do not import dengue seroprevalence as CHIKV.</t>
  </si>
  <si>
    <t>https://wwwnc.cdc.gov/eid/article/32/4/25-0942_article</t>
  </si>
  <si>
    <t>G19</t>
  </si>
  <si>
    <t>EXCLUDE_CLINICAL_SURVEILLANCE</t>
  </si>
  <si>
    <t>ITPS arbovirus reports; 2026 surveillance preprint</t>
  </si>
  <si>
    <t>Test positivity / routine case reports, not probability-sampled serosurveys</t>
  </si>
  <si>
    <t>Keep outside core seroprevalence dataset.</t>
  </si>
  <si>
    <t>https://www.itps.org.br/pesquisa-detalhe/monitoramento-de-arboviroses-relatorio-22</t>
  </si>
  <si>
    <t>G20</t>
  </si>
  <si>
    <t>POTENTIAL_NEW_SOURCE</t>
  </si>
  <si>
    <t>Brazil adolescent vaccine-trial baseline serostatus</t>
  </si>
  <si>
    <t>Unvaccinated baseline sera might be informative; raw site-specific denominators not retrieved</t>
  </si>
  <si>
    <t>Investigate baseline serostatus before adding; no vaccinated endpoints as natural infection evidence.</t>
  </si>
  <si>
    <t>G21</t>
  </si>
  <si>
    <t>SELECTION_BIAS</t>
  </si>
  <si>
    <t>U16-U18; U35</t>
  </si>
  <si>
    <t>Blood donors</t>
  </si>
  <si>
    <t>Healthy donor / age restrictions; long pooled sampling windows</t>
  </si>
  <si>
    <t>Do not apply donor prevalence to whole UF without transport assumptions.</t>
  </si>
  <si>
    <t>G22</t>
  </si>
  <si>
    <t>AGE_SELECTION</t>
  </si>
  <si>
    <t>U11; U24-U29</t>
  </si>
  <si>
    <t>Pregnancy / female / pediatric cohorts</t>
  </si>
  <si>
    <t>Not all ages/sexes of municipality</t>
  </si>
  <si>
    <t>Use only matching strata; do not upgrade to state representative.</t>
  </si>
  <si>
    <t>G23</t>
  </si>
  <si>
    <t>MISSING_AGE_STRATA</t>
  </si>
  <si>
    <t>P10; P22 and others</t>
  </si>
  <si>
    <t>Age-disaggregated supplementary tables</t>
  </si>
  <si>
    <t>Not all source age tables could be retrieved</t>
  </si>
  <si>
    <t>Obtain Recife age table and Wang Table S4; do not digitize missing counts as exact.</t>
  </si>
  <si>
    <t>G24</t>
  </si>
  <si>
    <t>PROVENANCE_CAUTION</t>
  </si>
  <si>
    <t>All additional papers</t>
  </si>
  <si>
    <t>Independence from existing FOI training</t>
  </si>
  <si>
    <t>New to this inventory does not guarantee independence from upstream training</t>
  </si>
  <si>
    <t>Crosswalk source DOI and cohort against actual allfoi training data before validation.</t>
  </si>
  <si>
    <t>Search log</t>
  </si>
  <si>
    <t>Search cutoff: 10 September 2026. Representative executed query families; targeted evidence inventory, not a fully reproducible PRISMA review.</t>
  </si>
  <si>
    <t>search_id</t>
  </si>
  <si>
    <t>search_date</t>
  </si>
  <si>
    <t>purpose</t>
  </si>
  <si>
    <t>query_or_query_family</t>
  </si>
  <si>
    <t>resources</t>
  </si>
  <si>
    <t>result</t>
  </si>
  <si>
    <t>scope</t>
  </si>
  <si>
    <t>Q01</t>
  </si>
  <si>
    <t>Seed paper</t>
  </si>
  <si>
    <t>"The epidemiology of chikungunya virus in Brazil and the potential impact of vaccines"</t>
  </si>
  <si>
    <t>Publisher / PubMed / Cambridge / GitHub</t>
  </si>
  <si>
    <t>12-survey count verified; exact supplement crosswalk incomplete</t>
  </si>
  <si>
    <t>Brazil human serology; targeted web search, not exhaustive systematic review</t>
  </si>
  <si>
    <t>Q02</t>
  </si>
  <si>
    <t>Seed review</t>
  </si>
  <si>
    <t>"Chikungunya seroprevalence, force of infection, and prevalence of chronic disability"</t>
  </si>
  <si>
    <t>Publisher / PubMed / bibliography index / GitHub</t>
  </si>
  <si>
    <t>Eight Brazil primary-paper citations recovered; inclusion status kept separate</t>
  </si>
  <si>
    <t>Q03</t>
  </si>
  <si>
    <t>Brazil update</t>
  </si>
  <si>
    <t>chikungunya seroprevalence Brazil 2023 2024 2025 2026</t>
  </si>
  <si>
    <t>Web / PubMed / primary publishers</t>
  </si>
  <si>
    <t>Additional local population and restricted-population papers</t>
  </si>
  <si>
    <t>Q04</t>
  </si>
  <si>
    <t>Population samples</t>
  </si>
  <si>
    <t>chikungunya seroprevalence Recife Rio de Janeiro Sao Sebastiao population-based</t>
  </si>
  <si>
    <t>PLOS / Springer</t>
  </si>
  <si>
    <t>Recife, Rio, DF primary surveys</t>
  </si>
  <si>
    <t>Q05</t>
  </si>
  <si>
    <t>Regional search</t>
  </si>
  <si>
    <t>chikungunya seroprevalence Brazil Salvador Fortaleza Sao Paulo Minas Gerais Amazon</t>
  </si>
  <si>
    <t>Primary journals / PubMed</t>
  </si>
  <si>
    <t>Local cohorts and donor/maternal studies</t>
  </si>
  <si>
    <t>Q06</t>
  </si>
  <si>
    <t>2026 update</t>
  </si>
  <si>
    <t>"Chikungunya" "seroprevalence" "Brazil" "2026"</t>
  </si>
  <si>
    <t>Web / PubMed / ASM / Wiley</t>
  </si>
  <si>
    <t>Fortaleza 2026 volume; Wang 2026 added; RNAemia study excluded</t>
  </si>
  <si>
    <t>Q07</t>
  </si>
  <si>
    <t>2026 primary</t>
  </si>
  <si>
    <t>"10.1128/jcm.00013-26" "seroprevalence"</t>
  </si>
  <si>
    <t>PMC / ASM</t>
  </si>
  <si>
    <t>Saude 2021-2022, 17/300; commercial ELISA alternative retained</t>
  </si>
  <si>
    <t>Q08</t>
  </si>
  <si>
    <t>Raw values</t>
  </si>
  <si>
    <t>"PMC12440227" / "0013477" chikungunya</t>
  </si>
  <si>
    <t>PMC / PLOS</t>
  </si>
  <si>
    <t>Four Salvador community denominators and positives</t>
  </si>
  <si>
    <t>Q09</t>
  </si>
  <si>
    <t>Longitudinal</t>
  </si>
  <si>
    <t>"0012013" chikungunya 341</t>
  </si>
  <si>
    <t>PLOS</t>
  </si>
  <si>
    <t>Four repeated samples in Vila Toninho; paired-cohort flag</t>
  </si>
  <si>
    <t>Q10</t>
  </si>
  <si>
    <t>Maternal cohort</t>
  </si>
  <si>
    <t>"40638511" / "42525035" / "37454038"</t>
  </si>
  <si>
    <t>PubMed / primary abstracts</t>
  </si>
  <si>
    <t>Marker, time window and selection limitations retained</t>
  </si>
  <si>
    <t>Q11</t>
  </si>
  <si>
    <t>Donors</t>
  </si>
  <si>
    <t>"30370414" / "10.1111/tme.12870" / "10.1111/vox.13707"</t>
  </si>
  <si>
    <t>PubMed / Wiley</t>
  </si>
  <si>
    <t>Separate donor-only endpoints; unknown marker flagged</t>
  </si>
  <si>
    <t>Q12</t>
  </si>
  <si>
    <t>Supplement access</t>
  </si>
  <si>
    <t>Cortes / Kang / Ribeiro supplementary input data</t>
  </si>
  <si>
    <t>Elsevier / Cambridge / Springer / GitHub</t>
  </si>
  <si>
    <t>Some publisher supplements and repository directories inaccessible; no invented extraction</t>
  </si>
  <si>
    <t>Data dictionary</t>
  </si>
  <si>
    <t>Read before importing into Stan or R. No individual-level data and no model-derived infection counts are included.</t>
  </si>
  <si>
    <t>field_or_code</t>
  </si>
  <si>
    <t>meaning</t>
  </si>
  <si>
    <t>Unique sample-site-timepoint label; paired rounds share cohort ID.</t>
  </si>
  <si>
    <t>Primary publication key; join to Sources. DOI identifies paper, not independent sample.</t>
  </si>
  <si>
    <t>Test-specific denominator actually stated in source; not necessarily total enrolled.</t>
  </si>
  <si>
    <t>Directly reported positive count; blank if not recovered. Never rounded from prevalence.</t>
  </si>
  <si>
    <t>Excel formula n_positive / n_tested. Blank when either raw count is missing.</t>
  </si>
  <si>
    <t>Published percentage stored as a fraction. May be weighted/adjusted or rounded.</t>
  </si>
  <si>
    <t>reported_ci_low / high</t>
  </si>
  <si>
    <t>Published confidence limits stored as fractions; no new CI calculated.</t>
  </si>
  <si>
    <t>Distinguishes raw, weighted, and other reported estimates.</t>
  </si>
  <si>
    <t>IgG, IgM, combined marker or restricted validation subset. Not interchangeable.</t>
  </si>
  <si>
    <t>Chooses one display endpoint per survey unit; NOT approval for national model fitting.</t>
  </si>
  <si>
    <t>collection_start / end</t>
  </si>
  <si>
    <t>Precision-preserving strings: YYYY or YYYY-MM. Blank means unavailable.</t>
  </si>
  <si>
    <t>Flags conflicting or pooled visit windows; do not invent midpoint dates silently.</t>
  </si>
  <si>
    <t>Shared group indicates possible duplicate totals, common cohort or repeated people.</t>
  </si>
  <si>
    <t>Review first as a local population anchor; geography/design/assay still need modelling.</t>
  </si>
  <si>
    <t>Selected local communities or incompletely described frame; not statewide representative.</t>
  </si>
  <si>
    <t>Repeated community-cohort observations; dependence and attrition must be handled.</t>
  </si>
  <si>
    <t>Donor, pregnancy, female-only or pediatric sample; transport to all ages/sexes not assumed.</t>
  </si>
  <si>
    <t>HOLD_*</t>
  </si>
  <si>
    <t>Essential time or endpoint definition missing; obtain full details before inferential use.</t>
  </si>
  <si>
    <t>EXCLUDE_* / RECENT_INFECTION_ONLY</t>
  </si>
  <si>
    <t>Not a direct cumulative population-seroprevalence anchor.</t>
  </si>
  <si>
    <t>Aggregate of separately listed sub-sites; select one aggregation level.</t>
  </si>
  <si>
    <t>Values checked in accessible primary article text/table.</t>
  </si>
  <si>
    <t>Primary article text recovered through indexed search; direct page may have access/captcha limits.</t>
  </si>
  <si>
    <t>Numerical values checked in primary abstract; some methodological fields not recovered.</t>
  </si>
  <si>
    <t>Existing training-data overlap is known only for two user anchors; other independence unverified.</t>
  </si>
  <si>
    <t>Citation number from review bibliography index; not exact analytic inclusion confirmation.</t>
  </si>
  <si>
    <t>Complete input crosswalk unavailable. Never infer inclusion solely from topic/date.</t>
  </si>
  <si>
    <t>Link to author data/supplement. File bytes not downloaded or independently row-validated here.</t>
  </si>
  <si>
    <t>Where the original value was found; retain with any modelling import.</t>
  </si>
  <si>
    <t>No S conversion</t>
  </si>
  <si>
    <t>Seroprevalence is not automatically 1-S: markers, assay error, age, time and antibody persistence matter.</t>
  </si>
  <si>
    <t>UF / primary source links</t>
  </si>
  <si>
    <t>One row per UF-paper pair; calculation support for coverage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</si>
</sst>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20"/>
      <color rgb="FF17324D"/>
      <name val="Aptos Display"/>
    </font>
    <font>
      <sz val="11"/>
      <color rgb="FF64748B"/>
      <name val="Aptos"/>
    </font>
    <font>
      <b/>
      <sz val="10"/>
      <color rgb="FFFFFFFF"/>
      <name val="Aptos"/>
    </font>
    <font>
      <sz val="10"/>
      <color rgb="FF16724A"/>
      <name val="Aptos"/>
    </font>
    <font>
      <b/>
      <sz val="10"/>
      <color rgb="FF7053A1"/>
      <name val="Aptos"/>
    </font>
    <font>
      <sz val="10"/>
      <color rgb="FF000000"/>
      <name val="Aptos"/>
    </font>
    <font>
      <sz val="10"/>
      <color rgb="FF9A5A05"/>
      <name val="Aptos"/>
    </font>
    <font>
      <u/>
      <sz val="10"/>
      <color rgb="FF16724A"/>
      <name val="Aptos"/>
    </font>
    <font>
      <b/>
      <sz val="10"/>
      <color rgb="FF9A5A05"/>
      <name val="Aptos"/>
    </font>
    <font>
      <b/>
      <sz val="25"/>
      <color rgb="FF17324D"/>
      <name val="Aptos Display"/>
    </font>
    <font>
      <sz val="12"/>
      <color rgb="FF0B6B73"/>
      <name val="Aptos"/>
    </font>
    <font>
      <sz val="12"/>
      <color rgb="FF17324D"/>
      <name val="Aptos"/>
    </font>
    <font>
      <b/>
      <sz val="11"/>
      <color rgb="FFFFFFFF"/>
      <name val="Aptos"/>
    </font>
    <font>
      <sz val="11"/>
      <color rgb="FF17324D"/>
      <name val="Aptos"/>
    </font>
    <font>
      <b/>
      <sz val="20"/>
      <color rgb="FF17324D"/>
      <name val="Calibri"/>
    </font>
    <font>
      <b/>
      <sz val="11"/>
      <color rgb="FFFFFFFF"/>
      <name val="Calibri"/>
    </font>
    <font>
      <b/>
      <sz val="17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3F7FA"/>
      </patternFill>
    </fill>
    <fill>
      <patternFill patternType="solid">
        <fgColor rgb="FFF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3" fontId="4" fillId="3" borderId="0" xfId="0" applyNumberFormat="1" applyFont="1" applyFill="1" applyAlignment="1">
      <alignment vertical="top" wrapText="1"/>
    </xf>
    <xf numFmtId="164" fontId="6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3" fontId="6" fillId="3" borderId="0" xfId="0" applyNumberFormat="1" applyFont="1" applyFill="1" applyAlignment="1">
      <alignment vertical="top" wrapText="1"/>
    </xf>
    <xf numFmtId="3" fontId="6" fillId="0" borderId="0" xfId="0" applyNumberFormat="1" applyFont="1" applyAlignment="1">
      <alignment vertical="top" wrapText="1"/>
    </xf>
    <xf numFmtId="0" fontId="15" fillId="0" borderId="0" xfId="0" applyFont="1"/>
    <xf numFmtId="0" fontId="16" fillId="2" borderId="0" xfId="0" applyFont="1" applyFill="1"/>
    <xf numFmtId="0" fontId="14" fillId="0" borderId="0" xfId="0" applyFont="1" applyAlignment="1">
      <alignment vertical="center" wrapText="1"/>
    </xf>
    <xf numFmtId="0" fontId="0" fillId="0" borderId="0" xfId="0"/>
    <xf numFmtId="0" fontId="13" fillId="2" borderId="0" xfId="0" applyFont="1" applyFill="1"/>
    <xf numFmtId="0" fontId="10" fillId="0" borderId="0" xfId="0" applyFont="1"/>
    <xf numFmtId="0" fontId="17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UFsources" displayName="T_UFsources" ref="A4:B28">
  <autoFilter ref="A4:B28" xr:uid="{00000000-0009-0000-0100-00000B000000}"/>
  <tableColumns count="2">
    <tableColumn id="1" xr3:uid="{00000000-0010-0000-0A00-000001000000}" name="uf"/>
    <tableColumn id="2" xr3:uid="{00000000-0010-0000-0A00-000002000000}" name="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journals.plos.org/plosntds/article?id=10.1371/journal.pntd.0009289" TargetMode="External"/><Relationship Id="rId18" Type="http://schemas.openxmlformats.org/officeDocument/2006/relationships/hyperlink" Target="https://onlinelibrary.wiley.com/doi/10.1111/tme.12870" TargetMode="External"/><Relationship Id="rId26" Type="http://schemas.openxmlformats.org/officeDocument/2006/relationships/hyperlink" Target="https://pubmed.ncbi.nlm.nih.gov/42525035/" TargetMode="External"/><Relationship Id="rId21" Type="http://schemas.openxmlformats.org/officeDocument/2006/relationships/hyperlink" Target="https://pmc.ncbi.nlm.nih.gov/articles/PMC12440227/" TargetMode="External"/><Relationship Id="rId34" Type="http://schemas.openxmlformats.org/officeDocument/2006/relationships/hyperlink" Target="https://journals.plos.org/plosntds/article?id=10.1371/journal.pntd.0012013" TargetMode="External"/><Relationship Id="rId7" Type="http://schemas.openxmlformats.org/officeDocument/2006/relationships/hyperlink" Target="https://journals.plos.org/plosntds/article?id=10.1371/journal.pntd.0009468" TargetMode="External"/><Relationship Id="rId12" Type="http://schemas.openxmlformats.org/officeDocument/2006/relationships/hyperlink" Target="https://pmc.ncbi.nlm.nih.gov/articles/PMC8993149/" TargetMode="External"/><Relationship Id="rId17" Type="http://schemas.openxmlformats.org/officeDocument/2006/relationships/hyperlink" Target="https://pubmed.ncbi.nlm.nih.gov/30370414/" TargetMode="External"/><Relationship Id="rId25" Type="http://schemas.openxmlformats.org/officeDocument/2006/relationships/hyperlink" Target="https://pubmed.ncbi.nlm.nih.gov/42525035/" TargetMode="External"/><Relationship Id="rId33" Type="http://schemas.openxmlformats.org/officeDocument/2006/relationships/hyperlink" Target="https://journals.plos.org/plosntds/article?id=10.1371/journal.pntd.0012013" TargetMode="External"/><Relationship Id="rId38" Type="http://schemas.openxmlformats.org/officeDocument/2006/relationships/comments" Target="../comments1.xml"/><Relationship Id="rId2" Type="http://schemas.openxmlformats.org/officeDocument/2006/relationships/hyperlink" Target="https://wwwnc.cdc.gov/eid/article/24/4/17-1370_article" TargetMode="External"/><Relationship Id="rId16" Type="http://schemas.openxmlformats.org/officeDocument/2006/relationships/hyperlink" Target="https://pubmed.ncbi.nlm.nih.gov/30370414/" TargetMode="External"/><Relationship Id="rId20" Type="http://schemas.openxmlformats.org/officeDocument/2006/relationships/hyperlink" Target="https://pmc.ncbi.nlm.nih.gov/articles/PMC12440227/" TargetMode="External"/><Relationship Id="rId29" Type="http://schemas.openxmlformats.org/officeDocument/2006/relationships/hyperlink" Target="https://pubmed.ncbi.nlm.nih.gov/40638511/" TargetMode="External"/><Relationship Id="rId1" Type="http://schemas.openxmlformats.org/officeDocument/2006/relationships/hyperlink" Target="https://wwwnc.cdc.gov/eid/article/24/4/17-1370_article" TargetMode="External"/><Relationship Id="rId6" Type="http://schemas.openxmlformats.org/officeDocument/2006/relationships/hyperlink" Target="https://onlinelibrary.wiley.com/doi/abs/10.1111/zph.12888" TargetMode="External"/><Relationship Id="rId11" Type="http://schemas.openxmlformats.org/officeDocument/2006/relationships/hyperlink" Target="https://pmc.ncbi.nlm.nih.gov/articles/PMC8993149/" TargetMode="External"/><Relationship Id="rId24" Type="http://schemas.openxmlformats.org/officeDocument/2006/relationships/hyperlink" Target="https://pmc.ncbi.nlm.nih.gov/articles/PMC12286324/" TargetMode="External"/><Relationship Id="rId32" Type="http://schemas.openxmlformats.org/officeDocument/2006/relationships/hyperlink" Target="https://journals.plos.org/plosntds/article?id=10.1371/journal.pntd.0012013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https://link.springer.com/article/10.1186/s12879-020-05611-5" TargetMode="External"/><Relationship Id="rId15" Type="http://schemas.openxmlformats.org/officeDocument/2006/relationships/hyperlink" Target="https://link.springer.com/article/10.1186/s12879-025-10516-2" TargetMode="External"/><Relationship Id="rId23" Type="http://schemas.openxmlformats.org/officeDocument/2006/relationships/hyperlink" Target="https://pmc.ncbi.nlm.nih.gov/articles/PMC12440227/" TargetMode="External"/><Relationship Id="rId28" Type="http://schemas.openxmlformats.org/officeDocument/2006/relationships/hyperlink" Target="https://www.sciencedirect.com/science/article/pii/S2772707623000954" TargetMode="External"/><Relationship Id="rId36" Type="http://schemas.openxmlformats.org/officeDocument/2006/relationships/hyperlink" Target="https://pmc.ncbi.nlm.nih.gov/articles/PMC13251372/" TargetMode="External"/><Relationship Id="rId10" Type="http://schemas.openxmlformats.org/officeDocument/2006/relationships/hyperlink" Target="https://journals.plos.org/plosone/article?id=10.1371/journal.pone.0243239" TargetMode="External"/><Relationship Id="rId19" Type="http://schemas.openxmlformats.org/officeDocument/2006/relationships/hyperlink" Target="https://pmc.ncbi.nlm.nih.gov/articles/PMC12440227/" TargetMode="External"/><Relationship Id="rId31" Type="http://schemas.openxmlformats.org/officeDocument/2006/relationships/hyperlink" Target="https://journals.plos.org/plosntds/article?id=10.1371/journal.pntd.0012013" TargetMode="External"/><Relationship Id="rId4" Type="http://schemas.openxmlformats.org/officeDocument/2006/relationships/hyperlink" Target="https://wwwnc.cdc.gov/eid/article/26/7/19-0846_article" TargetMode="External"/><Relationship Id="rId9" Type="http://schemas.openxmlformats.org/officeDocument/2006/relationships/hyperlink" Target="https://journals.plos.org/plosntds/article?id=10.1371/journal.pntd.0009468" TargetMode="External"/><Relationship Id="rId14" Type="http://schemas.openxmlformats.org/officeDocument/2006/relationships/hyperlink" Target="https://journals.plos.org/plosntds/article?id=10.1371/journal.pntd.0011270" TargetMode="External"/><Relationship Id="rId22" Type="http://schemas.openxmlformats.org/officeDocument/2006/relationships/hyperlink" Target="https://pmc.ncbi.nlm.nih.gov/articles/PMC12440227/" TargetMode="External"/><Relationship Id="rId27" Type="http://schemas.openxmlformats.org/officeDocument/2006/relationships/hyperlink" Target="https://pubmed.ncbi.nlm.nih.gov/37454038/" TargetMode="External"/><Relationship Id="rId30" Type="http://schemas.openxmlformats.org/officeDocument/2006/relationships/hyperlink" Target="https://journals.plos.org/plosntds/article?id=10.1371/journal.pntd.0012013" TargetMode="External"/><Relationship Id="rId35" Type="http://schemas.openxmlformats.org/officeDocument/2006/relationships/hyperlink" Target="https://pubmed.ncbi.nlm.nih.gov/38970294/" TargetMode="External"/><Relationship Id="rId8" Type="http://schemas.openxmlformats.org/officeDocument/2006/relationships/hyperlink" Target="https://journals.plos.org/plosntds/article?id=10.1371/journal.pntd.0009468" TargetMode="External"/><Relationship Id="rId3" Type="http://schemas.openxmlformats.org/officeDocument/2006/relationships/hyperlink" Target="https://journals.plos.org/plosntds/article?id=10.1371/journal.pntd.0005319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nc.cdc.gov/eid/article/26/7/19-0846_article" TargetMode="External"/><Relationship Id="rId18" Type="http://schemas.openxmlformats.org/officeDocument/2006/relationships/hyperlink" Target="https://journals.plos.org/plosntds/article?id=10.1371/journal.pntd.0009468" TargetMode="External"/><Relationship Id="rId26" Type="http://schemas.openxmlformats.org/officeDocument/2006/relationships/hyperlink" Target="https://journals.plos.org/plosntds/article?id=10.1371/journal.pntd.0011270" TargetMode="External"/><Relationship Id="rId39" Type="http://schemas.openxmlformats.org/officeDocument/2006/relationships/hyperlink" Target="https://pmc.ncbi.nlm.nih.gov/articles/PMC12286324/" TargetMode="External"/><Relationship Id="rId21" Type="http://schemas.openxmlformats.org/officeDocument/2006/relationships/hyperlink" Target="https://pmc.ncbi.nlm.nih.gov/articles/PMC8993149/" TargetMode="External"/><Relationship Id="rId34" Type="http://schemas.openxmlformats.org/officeDocument/2006/relationships/hyperlink" Target="https://pmc.ncbi.nlm.nih.gov/articles/PMC12440227/" TargetMode="External"/><Relationship Id="rId42" Type="http://schemas.openxmlformats.org/officeDocument/2006/relationships/hyperlink" Target="https://pubmed.ncbi.nlm.nih.gov/37454038/" TargetMode="External"/><Relationship Id="rId47" Type="http://schemas.openxmlformats.org/officeDocument/2006/relationships/hyperlink" Target="https://journals.plos.org/plosntds/article?id=10.1371/journal.pntd.0012013" TargetMode="External"/><Relationship Id="rId50" Type="http://schemas.openxmlformats.org/officeDocument/2006/relationships/hyperlink" Target="https://journals.plos.org/plosntds/article?id=10.1371/journal.pntd.0012013" TargetMode="External"/><Relationship Id="rId55" Type="http://schemas.openxmlformats.org/officeDocument/2006/relationships/hyperlink" Target="https://pmc.ncbi.nlm.nih.gov/articles/PMC13251372/" TargetMode="External"/><Relationship Id="rId7" Type="http://schemas.openxmlformats.org/officeDocument/2006/relationships/hyperlink" Target="https://wwwnc.cdc.gov/eid/article/24/4/17-1370_article" TargetMode="External"/><Relationship Id="rId2" Type="http://schemas.openxmlformats.org/officeDocument/2006/relationships/hyperlink" Target="https://wwwnc.cdc.gov/eid/article/24/4/17-1370_article" TargetMode="External"/><Relationship Id="rId16" Type="http://schemas.openxmlformats.org/officeDocument/2006/relationships/hyperlink" Target="https://onlinelibrary.wiley.com/doi/abs/10.1111/zph.12888" TargetMode="External"/><Relationship Id="rId29" Type="http://schemas.openxmlformats.org/officeDocument/2006/relationships/hyperlink" Target="https://link.springer.com/article/10.1186/s12879-025-10516-2" TargetMode="External"/><Relationship Id="rId11" Type="http://schemas.openxmlformats.org/officeDocument/2006/relationships/hyperlink" Target="https://journals.plos.org/plosntds/article?id=10.1371/journal.pntd.0005319" TargetMode="External"/><Relationship Id="rId24" Type="http://schemas.openxmlformats.org/officeDocument/2006/relationships/hyperlink" Target="https://pmc.ncbi.nlm.nih.gov/articles/PMC8993149/" TargetMode="External"/><Relationship Id="rId32" Type="http://schemas.openxmlformats.org/officeDocument/2006/relationships/hyperlink" Target="https://onlinelibrary.wiley.com/doi/10.1111/tme.12870" TargetMode="External"/><Relationship Id="rId37" Type="http://schemas.openxmlformats.org/officeDocument/2006/relationships/hyperlink" Target="https://pmc.ncbi.nlm.nih.gov/articles/PMC12440227/" TargetMode="External"/><Relationship Id="rId40" Type="http://schemas.openxmlformats.org/officeDocument/2006/relationships/hyperlink" Target="https://pubmed.ncbi.nlm.nih.gov/42525035/" TargetMode="External"/><Relationship Id="rId45" Type="http://schemas.openxmlformats.org/officeDocument/2006/relationships/hyperlink" Target="https://pubmed.ncbi.nlm.nih.gov/40638511/" TargetMode="External"/><Relationship Id="rId53" Type="http://schemas.openxmlformats.org/officeDocument/2006/relationships/hyperlink" Target="https://pubmed.ncbi.nlm.nih.gov/38970294/" TargetMode="External"/><Relationship Id="rId58" Type="http://schemas.openxmlformats.org/officeDocument/2006/relationships/comments" Target="../comments2.xml"/><Relationship Id="rId5" Type="http://schemas.openxmlformats.org/officeDocument/2006/relationships/hyperlink" Target="https://wwwnc.cdc.gov/eid/article/24/4/17-1370_article" TargetMode="External"/><Relationship Id="rId19" Type="http://schemas.openxmlformats.org/officeDocument/2006/relationships/hyperlink" Target="https://journals.plos.org/plosntds/article?id=10.1371/journal.pntd.0009468" TargetMode="External"/><Relationship Id="rId4" Type="http://schemas.openxmlformats.org/officeDocument/2006/relationships/hyperlink" Target="https://wwwnc.cdc.gov/eid/article/24/4/17-1370_article" TargetMode="External"/><Relationship Id="rId9" Type="http://schemas.openxmlformats.org/officeDocument/2006/relationships/hyperlink" Target="https://journals.plos.org/plosntds/article?id=10.1371/journal.pntd.0005319" TargetMode="External"/><Relationship Id="rId14" Type="http://schemas.openxmlformats.org/officeDocument/2006/relationships/hyperlink" Target="https://wwwnc.cdc.gov/eid/article/26/7/19-0846_article" TargetMode="External"/><Relationship Id="rId22" Type="http://schemas.openxmlformats.org/officeDocument/2006/relationships/hyperlink" Target="https://pmc.ncbi.nlm.nih.gov/articles/PMC8993149/" TargetMode="External"/><Relationship Id="rId27" Type="http://schemas.openxmlformats.org/officeDocument/2006/relationships/hyperlink" Target="https://journals.plos.org/plosntds/article?id=10.1371/journal.pntd.0011270" TargetMode="External"/><Relationship Id="rId30" Type="http://schemas.openxmlformats.org/officeDocument/2006/relationships/hyperlink" Target="https://pubmed.ncbi.nlm.nih.gov/30370414/" TargetMode="External"/><Relationship Id="rId35" Type="http://schemas.openxmlformats.org/officeDocument/2006/relationships/hyperlink" Target="https://pmc.ncbi.nlm.nih.gov/articles/PMC12440227/" TargetMode="External"/><Relationship Id="rId43" Type="http://schemas.openxmlformats.org/officeDocument/2006/relationships/hyperlink" Target="https://www.sciencedirect.com/science/article/pii/S2772707623000954" TargetMode="External"/><Relationship Id="rId48" Type="http://schemas.openxmlformats.org/officeDocument/2006/relationships/hyperlink" Target="https://journals.plos.org/plosntds/article?id=10.1371/journal.pntd.0012013" TargetMode="External"/><Relationship Id="rId56" Type="http://schemas.openxmlformats.org/officeDocument/2006/relationships/hyperlink" Target="https://pmc.ncbi.nlm.nih.gov/articles/PMC13251372/" TargetMode="External"/><Relationship Id="rId8" Type="http://schemas.openxmlformats.org/officeDocument/2006/relationships/hyperlink" Target="https://wwwnc.cdc.gov/eid/article/24/4/17-1370_article" TargetMode="External"/><Relationship Id="rId51" Type="http://schemas.openxmlformats.org/officeDocument/2006/relationships/hyperlink" Target="https://journals.plos.org/plosntds/article?id=10.1371/journal.pntd.0012013" TargetMode="External"/><Relationship Id="rId3" Type="http://schemas.openxmlformats.org/officeDocument/2006/relationships/hyperlink" Target="https://wwwnc.cdc.gov/eid/article/24/4/17-1370_article" TargetMode="External"/><Relationship Id="rId12" Type="http://schemas.openxmlformats.org/officeDocument/2006/relationships/hyperlink" Target="https://journals.plos.org/plosntds/article?id=10.1371/journal.pntd.0005319" TargetMode="External"/><Relationship Id="rId17" Type="http://schemas.openxmlformats.org/officeDocument/2006/relationships/hyperlink" Target="https://journals.plos.org/plosntds/article?id=10.1371/journal.pntd.0009468" TargetMode="External"/><Relationship Id="rId25" Type="http://schemas.openxmlformats.org/officeDocument/2006/relationships/hyperlink" Target="https://journals.plos.org/plosntds/article?id=10.1371/journal.pntd.0009289" TargetMode="External"/><Relationship Id="rId33" Type="http://schemas.openxmlformats.org/officeDocument/2006/relationships/hyperlink" Target="https://onlinelibrary.wiley.com/doi/10.1111/tme.12870" TargetMode="External"/><Relationship Id="rId38" Type="http://schemas.openxmlformats.org/officeDocument/2006/relationships/hyperlink" Target="https://pmc.ncbi.nlm.nih.gov/articles/PMC12440227/" TargetMode="External"/><Relationship Id="rId46" Type="http://schemas.openxmlformats.org/officeDocument/2006/relationships/hyperlink" Target="https://journals.plos.org/plosntds/article?id=10.1371/journal.pntd.0012013" TargetMode="External"/><Relationship Id="rId20" Type="http://schemas.openxmlformats.org/officeDocument/2006/relationships/hyperlink" Target="https://journals.plos.org/plosone/article?id=10.1371/journal.pone.0243239" TargetMode="External"/><Relationship Id="rId41" Type="http://schemas.openxmlformats.org/officeDocument/2006/relationships/hyperlink" Target="https://pubmed.ncbi.nlm.nih.gov/42525035/" TargetMode="External"/><Relationship Id="rId54" Type="http://schemas.openxmlformats.org/officeDocument/2006/relationships/hyperlink" Target="https://pmc.ncbi.nlm.nih.gov/articles/PMC13251372/" TargetMode="External"/><Relationship Id="rId1" Type="http://schemas.openxmlformats.org/officeDocument/2006/relationships/hyperlink" Target="https://wwwnc.cdc.gov/eid/article/24/4/17-1370_article" TargetMode="External"/><Relationship Id="rId6" Type="http://schemas.openxmlformats.org/officeDocument/2006/relationships/hyperlink" Target="https://wwwnc.cdc.gov/eid/article/24/4/17-1370_article" TargetMode="External"/><Relationship Id="rId15" Type="http://schemas.openxmlformats.org/officeDocument/2006/relationships/hyperlink" Target="https://link.springer.com/article/10.1186/s12879-020-05611-5" TargetMode="External"/><Relationship Id="rId23" Type="http://schemas.openxmlformats.org/officeDocument/2006/relationships/hyperlink" Target="https://pmc.ncbi.nlm.nih.gov/articles/PMC8993149/" TargetMode="External"/><Relationship Id="rId28" Type="http://schemas.openxmlformats.org/officeDocument/2006/relationships/hyperlink" Target="https://journals.plos.org/plosntds/article?id=10.1371/journal.pntd.0011270" TargetMode="External"/><Relationship Id="rId36" Type="http://schemas.openxmlformats.org/officeDocument/2006/relationships/hyperlink" Target="https://pmc.ncbi.nlm.nih.gov/articles/PMC12440227/" TargetMode="External"/><Relationship Id="rId49" Type="http://schemas.openxmlformats.org/officeDocument/2006/relationships/hyperlink" Target="https://journals.plos.org/plosntds/article?id=10.1371/journal.pntd.0012013" TargetMode="External"/><Relationship Id="rId57" Type="http://schemas.openxmlformats.org/officeDocument/2006/relationships/vmlDrawing" Target="../drawings/vmlDrawing2.vml"/><Relationship Id="rId10" Type="http://schemas.openxmlformats.org/officeDocument/2006/relationships/hyperlink" Target="https://journals.plos.org/plosntds/article?id=10.1371/journal.pntd.0005319" TargetMode="External"/><Relationship Id="rId31" Type="http://schemas.openxmlformats.org/officeDocument/2006/relationships/hyperlink" Target="https://pubmed.ncbi.nlm.nih.gov/30370414/" TargetMode="External"/><Relationship Id="rId44" Type="http://schemas.openxmlformats.org/officeDocument/2006/relationships/hyperlink" Target="https://pubmed.ncbi.nlm.nih.gov/40638511/" TargetMode="External"/><Relationship Id="rId52" Type="http://schemas.openxmlformats.org/officeDocument/2006/relationships/hyperlink" Target="https://pubmed.ncbi.nlm.nih.gov/38970294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journals.plos.org/plosntds/article?id=10.1371/journal.pntd.0009289" TargetMode="External"/><Relationship Id="rId18" Type="http://schemas.openxmlformats.org/officeDocument/2006/relationships/hyperlink" Target="https://onlinelibrary.wiley.com/doi/10.1111/tme.12870" TargetMode="External"/><Relationship Id="rId26" Type="http://schemas.openxmlformats.org/officeDocument/2006/relationships/hyperlink" Target="https://pubmed.ncbi.nlm.nih.gov/42525035/" TargetMode="External"/><Relationship Id="rId3" Type="http://schemas.openxmlformats.org/officeDocument/2006/relationships/hyperlink" Target="https://journals.plos.org/plosntds/article?id=10.1371/journal.pntd.0005319" TargetMode="External"/><Relationship Id="rId21" Type="http://schemas.openxmlformats.org/officeDocument/2006/relationships/hyperlink" Target="https://pmc.ncbi.nlm.nih.gov/articles/PMC12440227/" TargetMode="External"/><Relationship Id="rId34" Type="http://schemas.openxmlformats.org/officeDocument/2006/relationships/hyperlink" Target="https://journals.plos.org/plosntds/article?id=10.1371/journal.pntd.0012013" TargetMode="External"/><Relationship Id="rId7" Type="http://schemas.openxmlformats.org/officeDocument/2006/relationships/hyperlink" Target="https://journals.plos.org/plosntds/article?id=10.1371/journal.pntd.0009468" TargetMode="External"/><Relationship Id="rId12" Type="http://schemas.openxmlformats.org/officeDocument/2006/relationships/hyperlink" Target="https://pmc.ncbi.nlm.nih.gov/articles/PMC8993149/" TargetMode="External"/><Relationship Id="rId17" Type="http://schemas.openxmlformats.org/officeDocument/2006/relationships/hyperlink" Target="https://pubmed.ncbi.nlm.nih.gov/30370414/" TargetMode="External"/><Relationship Id="rId25" Type="http://schemas.openxmlformats.org/officeDocument/2006/relationships/hyperlink" Target="https://pubmed.ncbi.nlm.nih.gov/42525035/" TargetMode="External"/><Relationship Id="rId33" Type="http://schemas.openxmlformats.org/officeDocument/2006/relationships/hyperlink" Target="https://journals.plos.org/plosntds/article?id=10.1371/journal.pntd.0012013" TargetMode="External"/><Relationship Id="rId2" Type="http://schemas.openxmlformats.org/officeDocument/2006/relationships/hyperlink" Target="https://wwwnc.cdc.gov/eid/article/24/4/17-1370_article" TargetMode="External"/><Relationship Id="rId16" Type="http://schemas.openxmlformats.org/officeDocument/2006/relationships/hyperlink" Target="https://pubmed.ncbi.nlm.nih.gov/30370414/" TargetMode="External"/><Relationship Id="rId20" Type="http://schemas.openxmlformats.org/officeDocument/2006/relationships/hyperlink" Target="https://pmc.ncbi.nlm.nih.gov/articles/PMC12440227/" TargetMode="External"/><Relationship Id="rId29" Type="http://schemas.openxmlformats.org/officeDocument/2006/relationships/hyperlink" Target="https://pubmed.ncbi.nlm.nih.gov/40638511/" TargetMode="External"/><Relationship Id="rId1" Type="http://schemas.openxmlformats.org/officeDocument/2006/relationships/hyperlink" Target="https://wwwnc.cdc.gov/eid/article/24/4/17-1370_article" TargetMode="External"/><Relationship Id="rId6" Type="http://schemas.openxmlformats.org/officeDocument/2006/relationships/hyperlink" Target="https://onlinelibrary.wiley.com/doi/abs/10.1111/zph.12888" TargetMode="External"/><Relationship Id="rId11" Type="http://schemas.openxmlformats.org/officeDocument/2006/relationships/hyperlink" Target="https://pmc.ncbi.nlm.nih.gov/articles/PMC8993149/" TargetMode="External"/><Relationship Id="rId24" Type="http://schemas.openxmlformats.org/officeDocument/2006/relationships/hyperlink" Target="https://pmc.ncbi.nlm.nih.gov/articles/PMC12286324/" TargetMode="External"/><Relationship Id="rId32" Type="http://schemas.openxmlformats.org/officeDocument/2006/relationships/hyperlink" Target="https://journals.plos.org/plosntds/article?id=10.1371/journal.pntd.0012013" TargetMode="External"/><Relationship Id="rId5" Type="http://schemas.openxmlformats.org/officeDocument/2006/relationships/hyperlink" Target="https://link.springer.com/article/10.1186/s12879-020-05611-5" TargetMode="External"/><Relationship Id="rId15" Type="http://schemas.openxmlformats.org/officeDocument/2006/relationships/hyperlink" Target="https://link.springer.com/article/10.1186/s12879-025-10516-2" TargetMode="External"/><Relationship Id="rId23" Type="http://schemas.openxmlformats.org/officeDocument/2006/relationships/hyperlink" Target="https://pmc.ncbi.nlm.nih.gov/articles/PMC12440227/" TargetMode="External"/><Relationship Id="rId28" Type="http://schemas.openxmlformats.org/officeDocument/2006/relationships/hyperlink" Target="https://www.sciencedirect.com/science/article/pii/S2772707623000954" TargetMode="External"/><Relationship Id="rId36" Type="http://schemas.openxmlformats.org/officeDocument/2006/relationships/hyperlink" Target="https://pmc.ncbi.nlm.nih.gov/articles/PMC13251372/" TargetMode="External"/><Relationship Id="rId10" Type="http://schemas.openxmlformats.org/officeDocument/2006/relationships/hyperlink" Target="https://journals.plos.org/plosone/article?id=10.1371/journal.pone.0243239" TargetMode="External"/><Relationship Id="rId19" Type="http://schemas.openxmlformats.org/officeDocument/2006/relationships/hyperlink" Target="https://pmc.ncbi.nlm.nih.gov/articles/PMC12440227/" TargetMode="External"/><Relationship Id="rId31" Type="http://schemas.openxmlformats.org/officeDocument/2006/relationships/hyperlink" Target="https://journals.plos.org/plosntds/article?id=10.1371/journal.pntd.0012013" TargetMode="External"/><Relationship Id="rId4" Type="http://schemas.openxmlformats.org/officeDocument/2006/relationships/hyperlink" Target="https://wwwnc.cdc.gov/eid/article/26/7/19-0846_article" TargetMode="External"/><Relationship Id="rId9" Type="http://schemas.openxmlformats.org/officeDocument/2006/relationships/hyperlink" Target="https://journals.plos.org/plosntds/article?id=10.1371/journal.pntd.0009468" TargetMode="External"/><Relationship Id="rId14" Type="http://schemas.openxmlformats.org/officeDocument/2006/relationships/hyperlink" Target="https://journals.plos.org/plosntds/article?id=10.1371/journal.pntd.0011270" TargetMode="External"/><Relationship Id="rId22" Type="http://schemas.openxmlformats.org/officeDocument/2006/relationships/hyperlink" Target="https://pmc.ncbi.nlm.nih.gov/articles/PMC12440227/" TargetMode="External"/><Relationship Id="rId27" Type="http://schemas.openxmlformats.org/officeDocument/2006/relationships/hyperlink" Target="https://pubmed.ncbi.nlm.nih.gov/37454038/" TargetMode="External"/><Relationship Id="rId30" Type="http://schemas.openxmlformats.org/officeDocument/2006/relationships/hyperlink" Target="https://journals.plos.org/plosntds/article?id=10.1371/journal.pntd.0012013" TargetMode="External"/><Relationship Id="rId35" Type="http://schemas.openxmlformats.org/officeDocument/2006/relationships/hyperlink" Target="https://pubmed.ncbi.nlm.nih.gov/38970294/" TargetMode="External"/><Relationship Id="rId8" Type="http://schemas.openxmlformats.org/officeDocument/2006/relationships/hyperlink" Target="https://journals.plos.org/plosntds/article?id=10.1371/journal.pntd.000946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nc.cdc.gov/eid/article/24/4/17-1370_article" TargetMode="External"/><Relationship Id="rId13" Type="http://schemas.openxmlformats.org/officeDocument/2006/relationships/hyperlink" Target="https://pmc.ncbi.nlm.nih.gov/articles/PMC12440227/" TargetMode="External"/><Relationship Id="rId3" Type="http://schemas.openxmlformats.org/officeDocument/2006/relationships/hyperlink" Target="https://wwwnc.cdc.gov/eid/article/24/4/17-1370_article" TargetMode="External"/><Relationship Id="rId7" Type="http://schemas.openxmlformats.org/officeDocument/2006/relationships/hyperlink" Target="https://wwwnc.cdc.gov/eid/article/24/4/17-1370_article" TargetMode="External"/><Relationship Id="rId12" Type="http://schemas.openxmlformats.org/officeDocument/2006/relationships/hyperlink" Target="https://pmc.ncbi.nlm.nih.gov/articles/PMC12440227/" TargetMode="External"/><Relationship Id="rId17" Type="http://schemas.openxmlformats.org/officeDocument/2006/relationships/comments" Target="../comments3.xml"/><Relationship Id="rId2" Type="http://schemas.openxmlformats.org/officeDocument/2006/relationships/hyperlink" Target="https://wwwnc.cdc.gov/eid/article/24/4/17-1370_article" TargetMode="External"/><Relationship Id="rId16" Type="http://schemas.openxmlformats.org/officeDocument/2006/relationships/vmlDrawing" Target="../drawings/vmlDrawing3.vml"/><Relationship Id="rId1" Type="http://schemas.openxmlformats.org/officeDocument/2006/relationships/hyperlink" Target="https://wwwnc.cdc.gov/eid/article/24/4/17-1370_article" TargetMode="External"/><Relationship Id="rId6" Type="http://schemas.openxmlformats.org/officeDocument/2006/relationships/hyperlink" Target="https://wwwnc.cdc.gov/eid/article/24/4/17-1370_article" TargetMode="External"/><Relationship Id="rId11" Type="http://schemas.openxmlformats.org/officeDocument/2006/relationships/hyperlink" Target="https://pmc.ncbi.nlm.nih.gov/articles/PMC12440227/" TargetMode="External"/><Relationship Id="rId5" Type="http://schemas.openxmlformats.org/officeDocument/2006/relationships/hyperlink" Target="https://wwwnc.cdc.gov/eid/article/24/4/17-1370_article" TargetMode="External"/><Relationship Id="rId15" Type="http://schemas.openxmlformats.org/officeDocument/2006/relationships/hyperlink" Target="https://pubmed.ncbi.nlm.nih.gov/42525035/" TargetMode="External"/><Relationship Id="rId10" Type="http://schemas.openxmlformats.org/officeDocument/2006/relationships/hyperlink" Target="https://pmc.ncbi.nlm.nih.gov/articles/PMC12440227/" TargetMode="External"/><Relationship Id="rId4" Type="http://schemas.openxmlformats.org/officeDocument/2006/relationships/hyperlink" Target="https://wwwnc.cdc.gov/eid/article/24/4/17-1370_article" TargetMode="External"/><Relationship Id="rId9" Type="http://schemas.openxmlformats.org/officeDocument/2006/relationships/hyperlink" Target="https://pmc.ncbi.nlm.nih.gov/articles/PMC12440227/" TargetMode="External"/><Relationship Id="rId14" Type="http://schemas.openxmlformats.org/officeDocument/2006/relationships/hyperlink" Target="https://pubmed.ncbi.nlm.nih.gov/42525035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plos.org/plosone/article?id=10.1371/journal.pone.0243239" TargetMode="External"/><Relationship Id="rId13" Type="http://schemas.openxmlformats.org/officeDocument/2006/relationships/hyperlink" Target="https://pubmed.ncbi.nlm.nih.gov/30370414/" TargetMode="External"/><Relationship Id="rId18" Type="http://schemas.openxmlformats.org/officeDocument/2006/relationships/hyperlink" Target="https://pubmed.ncbi.nlm.nih.gov/42525035/" TargetMode="External"/><Relationship Id="rId3" Type="http://schemas.openxmlformats.org/officeDocument/2006/relationships/hyperlink" Target="https://journals.plos.org/plosntds/article/file?type=supplementary&amp;id=10.1371/journal.pntd.0005319.s002" TargetMode="External"/><Relationship Id="rId21" Type="http://schemas.openxmlformats.org/officeDocument/2006/relationships/hyperlink" Target="https://pubmed.ncbi.nlm.nih.gov/40638511/" TargetMode="External"/><Relationship Id="rId7" Type="http://schemas.openxmlformats.org/officeDocument/2006/relationships/hyperlink" Target="https://journals.plos.org/plosntds/article?id=10.1371/journal.pntd.0009468" TargetMode="External"/><Relationship Id="rId12" Type="http://schemas.openxmlformats.org/officeDocument/2006/relationships/hyperlink" Target="https://link.springer.com/article/10.1186/s12879-025-10516-2" TargetMode="External"/><Relationship Id="rId17" Type="http://schemas.openxmlformats.org/officeDocument/2006/relationships/hyperlink" Target="https://pmc.ncbi.nlm.nih.gov/articles/PMC12286324/" TargetMode="External"/><Relationship Id="rId2" Type="http://schemas.openxmlformats.org/officeDocument/2006/relationships/hyperlink" Target="https://journals.plos.org/plosntds/article?id=10.1371/journal.pntd.0005319" TargetMode="External"/><Relationship Id="rId16" Type="http://schemas.openxmlformats.org/officeDocument/2006/relationships/hyperlink" Target="https://osf.io/4f975/" TargetMode="External"/><Relationship Id="rId20" Type="http://schemas.openxmlformats.org/officeDocument/2006/relationships/hyperlink" Target="https://www.sciencedirect.com/science/article/pii/S2772707623000954" TargetMode="External"/><Relationship Id="rId1" Type="http://schemas.openxmlformats.org/officeDocument/2006/relationships/hyperlink" Target="https://wwwnc.cdc.gov/eid/article/24/4/17-1370_article" TargetMode="External"/><Relationship Id="rId6" Type="http://schemas.openxmlformats.org/officeDocument/2006/relationships/hyperlink" Target="https://onlinelibrary.wiley.com/doi/abs/10.1111/zph.12888" TargetMode="External"/><Relationship Id="rId11" Type="http://schemas.openxmlformats.org/officeDocument/2006/relationships/hyperlink" Target="https://journals.plos.org/plosntds/article?id=10.1371/journal.pntd.0011270" TargetMode="External"/><Relationship Id="rId24" Type="http://schemas.openxmlformats.org/officeDocument/2006/relationships/hyperlink" Target="https://pmc.ncbi.nlm.nih.gov/articles/PMC13251372/" TargetMode="External"/><Relationship Id="rId5" Type="http://schemas.openxmlformats.org/officeDocument/2006/relationships/hyperlink" Target="https://link.springer.com/article/10.1186/s12879-020-05611-5" TargetMode="External"/><Relationship Id="rId15" Type="http://schemas.openxmlformats.org/officeDocument/2006/relationships/hyperlink" Target="https://pmc.ncbi.nlm.nih.gov/articles/PMC12440227/" TargetMode="External"/><Relationship Id="rId23" Type="http://schemas.openxmlformats.org/officeDocument/2006/relationships/hyperlink" Target="https://pubmed.ncbi.nlm.nih.gov/38970294/" TargetMode="External"/><Relationship Id="rId10" Type="http://schemas.openxmlformats.org/officeDocument/2006/relationships/hyperlink" Target="https://journals.plos.org/plosntds/article?id=10.1371/journal.pntd.0009289" TargetMode="External"/><Relationship Id="rId19" Type="http://schemas.openxmlformats.org/officeDocument/2006/relationships/hyperlink" Target="https://pubmed.ncbi.nlm.nih.gov/37454038/" TargetMode="External"/><Relationship Id="rId4" Type="http://schemas.openxmlformats.org/officeDocument/2006/relationships/hyperlink" Target="https://wwwnc.cdc.gov/eid/article/26/7/19-0846_article" TargetMode="External"/><Relationship Id="rId9" Type="http://schemas.openxmlformats.org/officeDocument/2006/relationships/hyperlink" Target="https://pmc.ncbi.nlm.nih.gov/articles/PMC8993149/" TargetMode="External"/><Relationship Id="rId14" Type="http://schemas.openxmlformats.org/officeDocument/2006/relationships/hyperlink" Target="https://onlinelibrary.wiley.com/doi/10.1111/tme.12870" TargetMode="External"/><Relationship Id="rId22" Type="http://schemas.openxmlformats.org/officeDocument/2006/relationships/hyperlink" Target="https://journals.plos.org/plosntds/article?id=10.1371/journal.pntd.001201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186/s12879-020-05611-5" TargetMode="External"/><Relationship Id="rId13" Type="http://schemas.openxmlformats.org/officeDocument/2006/relationships/hyperlink" Target="https://ouci.dntb.gov.ua/en/works/9jKNnwg7/" TargetMode="External"/><Relationship Id="rId18" Type="http://schemas.openxmlformats.org/officeDocument/2006/relationships/hyperlink" Target="https://www.repository.cam.ac.uk/bitstreams/408344bf-59de-47d1-8932-603310dbd0b3/download" TargetMode="External"/><Relationship Id="rId3" Type="http://schemas.openxmlformats.org/officeDocument/2006/relationships/hyperlink" Target="https://ouci.dntb.gov.ua/en/works/9jKNnwg7/" TargetMode="External"/><Relationship Id="rId21" Type="http://schemas.openxmlformats.org/officeDocument/2006/relationships/hyperlink" Target="https://pubmed.ncbi.nlm.nih.gov/38342105/" TargetMode="External"/><Relationship Id="rId7" Type="http://schemas.openxmlformats.org/officeDocument/2006/relationships/hyperlink" Target="https://ouci.dntb.gov.ua/en/works/9jKNnwg7/" TargetMode="External"/><Relationship Id="rId12" Type="http://schemas.openxmlformats.org/officeDocument/2006/relationships/hyperlink" Target="https://journals.plos.org/plosntds/article?id=10.1371/journal.pntd.0009468" TargetMode="External"/><Relationship Id="rId17" Type="http://schemas.openxmlformats.org/officeDocument/2006/relationships/hyperlink" Target="https://www.sciencedirect.com/science/article/pii/S147330992500605X" TargetMode="External"/><Relationship Id="rId2" Type="http://schemas.openxmlformats.org/officeDocument/2006/relationships/hyperlink" Target="https://wwwnc.cdc.gov/eid/article/24/4/17-1370_article" TargetMode="External"/><Relationship Id="rId16" Type="http://schemas.openxmlformats.org/officeDocument/2006/relationships/hyperlink" Target="https://pmc.ncbi.nlm.nih.gov/articles/PMC8993149/" TargetMode="External"/><Relationship Id="rId20" Type="http://schemas.openxmlformats.org/officeDocument/2006/relationships/hyperlink" Target="https://github.com/hyolimkang/CHIK" TargetMode="External"/><Relationship Id="rId1" Type="http://schemas.openxmlformats.org/officeDocument/2006/relationships/hyperlink" Target="https://ouci.dntb.gov.ua/en/works/9jKNnwg7/" TargetMode="External"/><Relationship Id="rId6" Type="http://schemas.openxmlformats.org/officeDocument/2006/relationships/hyperlink" Target="https://wwwnc.cdc.gov/eid/article/26/7/19-0846_article" TargetMode="External"/><Relationship Id="rId11" Type="http://schemas.openxmlformats.org/officeDocument/2006/relationships/hyperlink" Target="https://ouci.dntb.gov.ua/en/works/9jKNnwg7/" TargetMode="External"/><Relationship Id="rId5" Type="http://schemas.openxmlformats.org/officeDocument/2006/relationships/hyperlink" Target="https://ouci.dntb.gov.ua/en/works/9jKNnwg7/" TargetMode="External"/><Relationship Id="rId15" Type="http://schemas.openxmlformats.org/officeDocument/2006/relationships/hyperlink" Target="https://ouci.dntb.gov.ua/en/works/9jKNnwg7/" TargetMode="External"/><Relationship Id="rId23" Type="http://schemas.openxmlformats.org/officeDocument/2006/relationships/hyperlink" Target="https://github.com/G-ribeiro-dos-santos/chik-global-burden" TargetMode="External"/><Relationship Id="rId10" Type="http://schemas.openxmlformats.org/officeDocument/2006/relationships/hyperlink" Target="https://onlinelibrary.wiley.com/doi/abs/10.1111/zph.12888" TargetMode="External"/><Relationship Id="rId19" Type="http://schemas.openxmlformats.org/officeDocument/2006/relationships/hyperlink" Target="https://github.com/ocortesazuero/CHIKV_FOI_Brazil" TargetMode="External"/><Relationship Id="rId4" Type="http://schemas.openxmlformats.org/officeDocument/2006/relationships/hyperlink" Target="https://journals.plos.org/plosntds/article?id=10.1371/journal.pntd.0005319" TargetMode="External"/><Relationship Id="rId9" Type="http://schemas.openxmlformats.org/officeDocument/2006/relationships/hyperlink" Target="https://ouci.dntb.gov.ua/en/works/9jKNnwg7/" TargetMode="External"/><Relationship Id="rId14" Type="http://schemas.openxmlformats.org/officeDocument/2006/relationships/hyperlink" Target="https://journals.plos.org/plosone/article?id=10.1371/journal.pone.0243239" TargetMode="External"/><Relationship Id="rId22" Type="http://schemas.openxmlformats.org/officeDocument/2006/relationships/hyperlink" Target="https://www.nature.com/articles/s41591-025-03703-w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full/10.1111/vox.70150" TargetMode="External"/><Relationship Id="rId3" Type="http://schemas.openxmlformats.org/officeDocument/2006/relationships/hyperlink" Target="https://doi.org/10.1016/j.ijregi.2023.09.004" TargetMode="External"/><Relationship Id="rId7" Type="http://schemas.openxmlformats.org/officeDocument/2006/relationships/hyperlink" Target="https://doi.org/10.1371/journal.pntd.0013254" TargetMode="External"/><Relationship Id="rId2" Type="http://schemas.openxmlformats.org/officeDocument/2006/relationships/hyperlink" Target="https://github.com/hyolimkang/CHIK" TargetMode="External"/><Relationship Id="rId1" Type="http://schemas.openxmlformats.org/officeDocument/2006/relationships/hyperlink" Target="https://github.com/ocortesazuero/CHIKV_FOI_Brazil" TargetMode="External"/><Relationship Id="rId6" Type="http://schemas.openxmlformats.org/officeDocument/2006/relationships/hyperlink" Target="https://doi.org/10.3201/eid2409.180724" TargetMode="External"/><Relationship Id="rId5" Type="http://schemas.openxmlformats.org/officeDocument/2006/relationships/hyperlink" Target="https://doi.org/10.1101/2024.05.02.24306518" TargetMode="External"/><Relationship Id="rId10" Type="http://schemas.openxmlformats.org/officeDocument/2006/relationships/hyperlink" Target="https://www.itps.org.br/pesquisa-detalhe/monitoramento-de-arboviroses-relatorio-22" TargetMode="External"/><Relationship Id="rId4" Type="http://schemas.openxmlformats.org/officeDocument/2006/relationships/hyperlink" Target="https://doi.org/10.1111/vox.13707" TargetMode="External"/><Relationship Id="rId9" Type="http://schemas.openxmlformats.org/officeDocument/2006/relationships/hyperlink" Target="https://wwwnc.cdc.gov/eid/article/32/4/25-0942_article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6B73"/>
  </sheetPr>
  <dimension ref="A1:H49"/>
  <sheetViews>
    <sheetView showGridLines="0" zoomScale="85" workbookViewId="0">
      <pane ySplit="10" topLeftCell="A11" activePane="bottomLeft" state="frozen"/>
      <selection pane="bottomLeft"/>
    </sheetView>
  </sheetViews>
  <sheetFormatPr defaultRowHeight="15" x14ac:dyDescent="0.25"/>
  <cols>
    <col min="1" max="8" width="18" customWidth="1"/>
  </cols>
  <sheetData>
    <row r="1" spans="1:8" ht="42" customHeight="1" x14ac:dyDescent="0.5">
      <c r="A1" s="24" t="s">
        <v>0</v>
      </c>
      <c r="B1" s="22"/>
      <c r="C1" s="22"/>
      <c r="D1" s="22"/>
      <c r="E1" s="22"/>
      <c r="F1" s="22"/>
      <c r="G1" s="22"/>
      <c r="H1" s="22"/>
    </row>
    <row r="2" spans="1:8" ht="26.1" customHeight="1" x14ac:dyDescent="0.25">
      <c r="A2" s="27" t="s">
        <v>1</v>
      </c>
      <c r="B2" s="22"/>
      <c r="C2" s="22"/>
      <c r="D2" s="22"/>
      <c r="E2" s="22"/>
      <c r="F2" s="22"/>
      <c r="G2" s="22"/>
      <c r="H2" s="22"/>
    </row>
    <row r="4" spans="1:8" ht="27" customHeight="1" x14ac:dyDescent="0.35">
      <c r="A4" s="26" t="s">
        <v>2</v>
      </c>
      <c r="B4" s="22"/>
      <c r="C4" s="22"/>
      <c r="D4" s="22"/>
      <c r="E4" s="22"/>
      <c r="F4" s="22"/>
      <c r="G4" s="25">
        <f>COUNTA(Sources!A5:A26)</f>
        <v>22</v>
      </c>
      <c r="H4" s="22"/>
    </row>
    <row r="5" spans="1:8" ht="27" customHeight="1" x14ac:dyDescent="0.35">
      <c r="A5" s="26" t="s">
        <v>3</v>
      </c>
      <c r="B5" s="22"/>
      <c r="C5" s="22"/>
      <c r="D5" s="22"/>
      <c r="E5" s="22"/>
      <c r="F5" s="22"/>
      <c r="G5" s="25">
        <f>COUNTA(Survey_units!A5:A40)</f>
        <v>36</v>
      </c>
      <c r="H5" s="22"/>
    </row>
    <row r="6" spans="1:8" ht="27" customHeight="1" x14ac:dyDescent="0.35">
      <c r="A6" s="26" t="s">
        <v>4</v>
      </c>
      <c r="B6" s="22"/>
      <c r="C6" s="22"/>
      <c r="D6" s="22"/>
      <c r="E6" s="22"/>
      <c r="F6" s="22"/>
      <c r="G6" s="25">
        <f>COUNTA(Raw_observations!A5:A60)</f>
        <v>56</v>
      </c>
      <c r="H6" s="22"/>
    </row>
    <row r="7" spans="1:8" ht="27" customHeight="1" x14ac:dyDescent="0.35">
      <c r="A7" s="26" t="s">
        <v>5</v>
      </c>
      <c r="B7" s="22"/>
      <c r="C7" s="22"/>
      <c r="D7" s="22"/>
      <c r="E7" s="22"/>
      <c r="F7" s="22"/>
      <c r="G7" s="25">
        <f>COUNT(Raw_observations!I5:I60)</f>
        <v>46</v>
      </c>
      <c r="H7" s="22"/>
    </row>
    <row r="8" spans="1:8" ht="27" customHeight="1" x14ac:dyDescent="0.35">
      <c r="A8" s="26" t="s">
        <v>6</v>
      </c>
      <c r="B8" s="22"/>
      <c r="C8" s="22"/>
      <c r="D8" s="22"/>
      <c r="E8" s="22"/>
      <c r="F8" s="22"/>
      <c r="G8" s="25">
        <f>COUNTA(Age_strata!A5:A19)</f>
        <v>15</v>
      </c>
      <c r="H8" s="22"/>
    </row>
    <row r="9" spans="1:8" ht="27" customHeight="1" x14ac:dyDescent="0.35">
      <c r="A9" s="26" t="s">
        <v>7</v>
      </c>
      <c r="B9" s="22"/>
      <c r="C9" s="22"/>
      <c r="D9" s="22"/>
      <c r="E9" s="22"/>
      <c r="F9" s="22"/>
      <c r="G9" s="25">
        <f>COUNTIF(UF_coverage!D5:D31,"&gt;0")</f>
        <v>9</v>
      </c>
      <c r="H9" s="22"/>
    </row>
    <row r="11" spans="1:8" ht="24.95" customHeight="1" x14ac:dyDescent="0.25">
      <c r="A11" s="23" t="s">
        <v>8</v>
      </c>
      <c r="B11" s="22"/>
      <c r="C11" s="22"/>
      <c r="D11" s="22"/>
      <c r="E11" s="22"/>
      <c r="F11" s="22"/>
      <c r="G11" s="22"/>
      <c r="H11" s="22"/>
    </row>
    <row r="12" spans="1:8" ht="30" customHeight="1" x14ac:dyDescent="0.25">
      <c r="A12" s="21" t="s">
        <v>9</v>
      </c>
      <c r="B12" s="22"/>
      <c r="C12" s="22"/>
      <c r="D12" s="22"/>
      <c r="E12" s="22"/>
      <c r="F12" s="22"/>
      <c r="G12" s="22"/>
      <c r="H12" s="22"/>
    </row>
    <row r="13" spans="1:8" ht="30" customHeight="1" x14ac:dyDescent="0.25">
      <c r="A13" s="22"/>
      <c r="B13" s="22"/>
      <c r="C13" s="22"/>
      <c r="D13" s="22"/>
      <c r="E13" s="22"/>
      <c r="F13" s="22"/>
      <c r="G13" s="22"/>
      <c r="H13" s="22"/>
    </row>
    <row r="15" spans="1:8" ht="24.95" customHeight="1" x14ac:dyDescent="0.25">
      <c r="A15" s="23" t="s">
        <v>10</v>
      </c>
      <c r="B15" s="22"/>
      <c r="C15" s="22"/>
      <c r="D15" s="22"/>
      <c r="E15" s="22"/>
      <c r="F15" s="22"/>
      <c r="G15" s="22"/>
      <c r="H15" s="22"/>
    </row>
    <row r="16" spans="1:8" ht="30" customHeight="1" x14ac:dyDescent="0.25">
      <c r="A16" s="21" t="s">
        <v>11</v>
      </c>
      <c r="B16" s="22"/>
      <c r="C16" s="22"/>
      <c r="D16" s="22"/>
      <c r="E16" s="22"/>
      <c r="F16" s="22"/>
      <c r="G16" s="22"/>
      <c r="H16" s="22"/>
    </row>
    <row r="17" spans="1:8" ht="30" customHeight="1" x14ac:dyDescent="0.25">
      <c r="A17" s="22"/>
      <c r="B17" s="22"/>
      <c r="C17" s="22"/>
      <c r="D17" s="22"/>
      <c r="E17" s="22"/>
      <c r="F17" s="22"/>
      <c r="G17" s="22"/>
      <c r="H17" s="22"/>
    </row>
    <row r="19" spans="1:8" ht="24.95" customHeight="1" x14ac:dyDescent="0.25">
      <c r="A19" s="23" t="s">
        <v>12</v>
      </c>
      <c r="B19" s="22"/>
      <c r="C19" s="22"/>
      <c r="D19" s="22"/>
      <c r="E19" s="22"/>
      <c r="F19" s="22"/>
      <c r="G19" s="22"/>
      <c r="H19" s="22"/>
    </row>
    <row r="20" spans="1:8" ht="30" customHeight="1" x14ac:dyDescent="0.25">
      <c r="A20" s="21" t="s">
        <v>13</v>
      </c>
      <c r="B20" s="22"/>
      <c r="C20" s="22"/>
      <c r="D20" s="22"/>
      <c r="E20" s="22"/>
      <c r="F20" s="22"/>
      <c r="G20" s="22"/>
      <c r="H20" s="22"/>
    </row>
    <row r="21" spans="1:8" ht="30" customHeight="1" x14ac:dyDescent="0.25">
      <c r="A21" s="22"/>
      <c r="B21" s="22"/>
      <c r="C21" s="22"/>
      <c r="D21" s="22"/>
      <c r="E21" s="22"/>
      <c r="F21" s="22"/>
      <c r="G21" s="22"/>
      <c r="H21" s="22"/>
    </row>
    <row r="23" spans="1:8" ht="24.95" customHeight="1" x14ac:dyDescent="0.25">
      <c r="A23" s="23" t="s">
        <v>14</v>
      </c>
      <c r="B23" s="22"/>
      <c r="C23" s="22"/>
      <c r="D23" s="22"/>
      <c r="E23" s="22"/>
      <c r="F23" s="22"/>
      <c r="G23" s="22"/>
      <c r="H23" s="22"/>
    </row>
    <row r="24" spans="1:8" ht="30" customHeight="1" x14ac:dyDescent="0.25">
      <c r="A24" s="21" t="s">
        <v>15</v>
      </c>
      <c r="B24" s="22"/>
      <c r="C24" s="22"/>
      <c r="D24" s="22"/>
      <c r="E24" s="22"/>
      <c r="F24" s="22"/>
      <c r="G24" s="22"/>
      <c r="H24" s="22"/>
    </row>
    <row r="25" spans="1:8" ht="30" customHeight="1" x14ac:dyDescent="0.25">
      <c r="A25" s="22"/>
      <c r="B25" s="22"/>
      <c r="C25" s="22"/>
      <c r="D25" s="22"/>
      <c r="E25" s="22"/>
      <c r="F25" s="22"/>
      <c r="G25" s="22"/>
      <c r="H25" s="22"/>
    </row>
    <row r="27" spans="1:8" ht="24.95" customHeight="1" x14ac:dyDescent="0.25">
      <c r="A27" s="23" t="s">
        <v>16</v>
      </c>
      <c r="B27" s="22"/>
      <c r="C27" s="22"/>
      <c r="D27" s="22"/>
      <c r="E27" s="22"/>
      <c r="F27" s="22"/>
      <c r="G27" s="22"/>
      <c r="H27" s="22"/>
    </row>
    <row r="28" spans="1:8" ht="30" customHeight="1" x14ac:dyDescent="0.25">
      <c r="A28" s="21" t="s">
        <v>17</v>
      </c>
      <c r="B28" s="22"/>
      <c r="C28" s="22"/>
      <c r="D28" s="22"/>
      <c r="E28" s="22"/>
      <c r="F28" s="22"/>
      <c r="G28" s="22"/>
      <c r="H28" s="22"/>
    </row>
    <row r="29" spans="1:8" ht="30" customHeight="1" x14ac:dyDescent="0.25">
      <c r="A29" s="22"/>
      <c r="B29" s="22"/>
      <c r="C29" s="22"/>
      <c r="D29" s="22"/>
      <c r="E29" s="22"/>
      <c r="F29" s="22"/>
      <c r="G29" s="22"/>
      <c r="H29" s="22"/>
    </row>
    <row r="31" spans="1:8" ht="24.95" customHeight="1" x14ac:dyDescent="0.25">
      <c r="A31" s="23" t="s">
        <v>18</v>
      </c>
      <c r="B31" s="22"/>
      <c r="C31" s="22"/>
      <c r="D31" s="22"/>
      <c r="E31" s="22"/>
      <c r="F31" s="22"/>
      <c r="G31" s="22"/>
      <c r="H31" s="22"/>
    </row>
    <row r="32" spans="1:8" ht="30" customHeight="1" x14ac:dyDescent="0.25">
      <c r="A32" s="21" t="s">
        <v>19</v>
      </c>
      <c r="B32" s="22"/>
      <c r="C32" s="22"/>
      <c r="D32" s="22"/>
      <c r="E32" s="22"/>
      <c r="F32" s="22"/>
      <c r="G32" s="22"/>
      <c r="H32" s="22"/>
    </row>
    <row r="33" spans="1:8" ht="30" customHeight="1" x14ac:dyDescent="0.25">
      <c r="A33" s="22"/>
      <c r="B33" s="22"/>
      <c r="C33" s="22"/>
      <c r="D33" s="22"/>
      <c r="E33" s="22"/>
      <c r="F33" s="22"/>
      <c r="G33" s="22"/>
      <c r="H33" s="22"/>
    </row>
    <row r="35" spans="1:8" ht="24.95" customHeight="1" x14ac:dyDescent="0.25">
      <c r="A35" s="23" t="s">
        <v>20</v>
      </c>
      <c r="B35" s="22"/>
      <c r="C35" s="22"/>
      <c r="D35" s="22"/>
      <c r="E35" s="22"/>
      <c r="F35" s="22"/>
      <c r="G35" s="22"/>
      <c r="H35" s="22"/>
    </row>
    <row r="36" spans="1:8" ht="30" customHeight="1" x14ac:dyDescent="0.25">
      <c r="A36" s="21" t="s">
        <v>21</v>
      </c>
      <c r="B36" s="22"/>
      <c r="C36" s="22"/>
      <c r="D36" s="22"/>
      <c r="E36" s="22"/>
      <c r="F36" s="22"/>
      <c r="G36" s="22"/>
      <c r="H36" s="22"/>
    </row>
    <row r="37" spans="1:8" ht="30" customHeight="1" x14ac:dyDescent="0.25">
      <c r="A37" s="22"/>
      <c r="B37" s="22"/>
      <c r="C37" s="22"/>
      <c r="D37" s="22"/>
      <c r="E37" s="22"/>
      <c r="F37" s="22"/>
      <c r="G37" s="22"/>
      <c r="H37" s="22"/>
    </row>
    <row r="39" spans="1:8" ht="24.95" customHeight="1" x14ac:dyDescent="0.25">
      <c r="A39" s="23" t="s">
        <v>22</v>
      </c>
      <c r="B39" s="22"/>
      <c r="C39" s="22"/>
      <c r="D39" s="22"/>
      <c r="E39" s="22"/>
      <c r="F39" s="22"/>
      <c r="G39" s="22"/>
      <c r="H39" s="22"/>
    </row>
    <row r="40" spans="1:8" ht="30" customHeight="1" x14ac:dyDescent="0.25">
      <c r="A40" s="21" t="s">
        <v>23</v>
      </c>
      <c r="B40" s="22"/>
      <c r="C40" s="22"/>
      <c r="D40" s="22"/>
      <c r="E40" s="22"/>
      <c r="F40" s="22"/>
      <c r="G40" s="22"/>
      <c r="H40" s="22"/>
    </row>
    <row r="41" spans="1:8" ht="30" customHeight="1" x14ac:dyDescent="0.25">
      <c r="A41" s="22"/>
      <c r="B41" s="22"/>
      <c r="C41" s="22"/>
      <c r="D41" s="22"/>
      <c r="E41" s="22"/>
      <c r="F41" s="22"/>
      <c r="G41" s="22"/>
      <c r="H41" s="22"/>
    </row>
    <row r="43" spans="1:8" ht="24.95" customHeight="1" x14ac:dyDescent="0.25">
      <c r="A43" s="23" t="s">
        <v>24</v>
      </c>
      <c r="B43" s="22"/>
      <c r="C43" s="22"/>
      <c r="D43" s="22"/>
      <c r="E43" s="22"/>
      <c r="F43" s="22"/>
      <c r="G43" s="22"/>
      <c r="H43" s="22"/>
    </row>
    <row r="44" spans="1:8" ht="30" customHeight="1" x14ac:dyDescent="0.25">
      <c r="A44" s="21" t="s">
        <v>25</v>
      </c>
      <c r="B44" s="22"/>
      <c r="C44" s="22"/>
      <c r="D44" s="22"/>
      <c r="E44" s="22"/>
      <c r="F44" s="22"/>
      <c r="G44" s="22"/>
      <c r="H44" s="22"/>
    </row>
    <row r="45" spans="1:8" ht="30" customHeight="1" x14ac:dyDescent="0.25">
      <c r="A45" s="22"/>
      <c r="B45" s="22"/>
      <c r="C45" s="22"/>
      <c r="D45" s="22"/>
      <c r="E45" s="22"/>
      <c r="F45" s="22"/>
      <c r="G45" s="22"/>
      <c r="H45" s="22"/>
    </row>
    <row r="47" spans="1:8" ht="24.95" customHeight="1" x14ac:dyDescent="0.25">
      <c r="A47" s="23" t="s">
        <v>26</v>
      </c>
      <c r="B47" s="22"/>
      <c r="C47" s="22"/>
      <c r="D47" s="22"/>
      <c r="E47" s="22"/>
      <c r="F47" s="22"/>
      <c r="G47" s="22"/>
      <c r="H47" s="22"/>
    </row>
    <row r="48" spans="1:8" ht="30" customHeight="1" x14ac:dyDescent="0.25">
      <c r="A48" s="21" t="s">
        <v>27</v>
      </c>
      <c r="B48" s="22"/>
      <c r="C48" s="22"/>
      <c r="D48" s="22"/>
      <c r="E48" s="22"/>
      <c r="F48" s="22"/>
      <c r="G48" s="22"/>
      <c r="H48" s="22"/>
    </row>
    <row r="49" spans="1:8" ht="30" customHeight="1" x14ac:dyDescent="0.25">
      <c r="A49" s="22"/>
      <c r="B49" s="22"/>
      <c r="C49" s="22"/>
      <c r="D49" s="22"/>
      <c r="E49" s="22"/>
      <c r="F49" s="22"/>
      <c r="G49" s="22"/>
      <c r="H49" s="22"/>
    </row>
  </sheetData>
  <mergeCells count="34">
    <mergeCell ref="A47:H47"/>
    <mergeCell ref="A23:H23"/>
    <mergeCell ref="A48:H49"/>
    <mergeCell ref="A24:H25"/>
    <mergeCell ref="G4:H4"/>
    <mergeCell ref="A35:H35"/>
    <mergeCell ref="A43:H43"/>
    <mergeCell ref="A36:H37"/>
    <mergeCell ref="A16:H17"/>
    <mergeCell ref="A6:F6"/>
    <mergeCell ref="A19:H19"/>
    <mergeCell ref="G9:H9"/>
    <mergeCell ref="A31:H31"/>
    <mergeCell ref="A7:F7"/>
    <mergeCell ref="A44:H45"/>
    <mergeCell ref="A27:H27"/>
    <mergeCell ref="A28:H29"/>
    <mergeCell ref="A2:H2"/>
    <mergeCell ref="A9:F9"/>
    <mergeCell ref="G5:H5"/>
    <mergeCell ref="A40:H41"/>
    <mergeCell ref="A12:H13"/>
    <mergeCell ref="A39:H39"/>
    <mergeCell ref="A15:H15"/>
    <mergeCell ref="A11:H11"/>
    <mergeCell ref="A1:H1"/>
    <mergeCell ref="G8:H8"/>
    <mergeCell ref="A32:H33"/>
    <mergeCell ref="G7:H7"/>
    <mergeCell ref="A5:F5"/>
    <mergeCell ref="A20:H21"/>
    <mergeCell ref="A8:F8"/>
    <mergeCell ref="A4:F4"/>
    <mergeCell ref="G6:H6"/>
  </mergeCells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6B73"/>
    <pageSetUpPr fitToPage="1"/>
  </sheetPr>
  <dimension ref="A1:R40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6" customWidth="1"/>
    <col min="4" max="6" width="34" customWidth="1"/>
    <col min="7" max="7" width="30" customWidth="1"/>
    <col min="8" max="9" width="16" customWidth="1"/>
    <col min="10" max="13" width="19" customWidth="1"/>
    <col min="14" max="15" width="30" customWidth="1"/>
    <col min="16" max="17" width="16" customWidth="1"/>
    <col min="18" max="18" width="44" customWidth="1"/>
  </cols>
  <sheetData>
    <row r="1" spans="1:18" ht="33" customHeight="1" x14ac:dyDescent="0.4">
      <c r="A1" s="29" t="s">
        <v>28</v>
      </c>
      <c r="B1" s="22"/>
      <c r="C1" s="22"/>
      <c r="D1" s="22"/>
      <c r="E1" s="22"/>
      <c r="F1" s="22"/>
      <c r="G1" s="22"/>
      <c r="H1" s="22"/>
    </row>
    <row r="2" spans="1:18" ht="42" customHeight="1" x14ac:dyDescent="0.25">
      <c r="A2" s="28" t="s">
        <v>29</v>
      </c>
      <c r="B2" s="22"/>
      <c r="C2" s="22"/>
      <c r="D2" s="22"/>
      <c r="E2" s="22"/>
      <c r="F2" s="22"/>
      <c r="G2" s="22"/>
      <c r="H2" s="22"/>
    </row>
    <row r="4" spans="1:18" ht="33.950000000000003" customHeight="1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</row>
    <row r="5" spans="1:18" ht="60.95" customHeight="1" x14ac:dyDescent="0.25">
      <c r="A5" s="2" t="s">
        <v>48</v>
      </c>
      <c r="B5" s="2" t="s">
        <v>49</v>
      </c>
      <c r="C5" s="2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4">
        <v>385</v>
      </c>
      <c r="I5" s="4">
        <v>220</v>
      </c>
      <c r="J5" s="5">
        <f t="shared" ref="J5:J40" si="0">IF(OR(H5="",I5="",H5=0),"",I5/H5)</f>
        <v>0.5714285714285714</v>
      </c>
      <c r="K5" s="6">
        <v>0.57099999999999995</v>
      </c>
      <c r="L5" s="6"/>
      <c r="M5" s="6"/>
      <c r="N5" s="3" t="s">
        <v>55</v>
      </c>
      <c r="O5" s="7" t="s">
        <v>56</v>
      </c>
      <c r="P5" s="3" t="s">
        <v>57</v>
      </c>
      <c r="Q5" s="3" t="s">
        <v>58</v>
      </c>
      <c r="R5" s="8" t="s">
        <v>59</v>
      </c>
    </row>
    <row r="6" spans="1:18" ht="60.95" customHeight="1" x14ac:dyDescent="0.25">
      <c r="A6" s="9" t="s">
        <v>60</v>
      </c>
      <c r="B6" s="9" t="s">
        <v>49</v>
      </c>
      <c r="C6" s="9" t="s">
        <v>50</v>
      </c>
      <c r="D6" s="10" t="s">
        <v>61</v>
      </c>
      <c r="E6" s="10" t="s">
        <v>52</v>
      </c>
      <c r="F6" s="10" t="s">
        <v>53</v>
      </c>
      <c r="G6" s="10" t="s">
        <v>54</v>
      </c>
      <c r="H6" s="11">
        <v>446</v>
      </c>
      <c r="I6" s="11">
        <v>204</v>
      </c>
      <c r="J6" s="12">
        <f t="shared" si="0"/>
        <v>0.45739910313901344</v>
      </c>
      <c r="K6" s="13">
        <v>0.45700000000000002</v>
      </c>
      <c r="L6" s="13"/>
      <c r="M6" s="13"/>
      <c r="N6" s="10" t="s">
        <v>55</v>
      </c>
      <c r="O6" s="14" t="s">
        <v>56</v>
      </c>
      <c r="P6" s="10" t="s">
        <v>62</v>
      </c>
      <c r="Q6" s="10" t="s">
        <v>58</v>
      </c>
      <c r="R6" s="15" t="s">
        <v>59</v>
      </c>
    </row>
    <row r="7" spans="1:18" ht="60.95" customHeight="1" x14ac:dyDescent="0.25">
      <c r="A7" s="2" t="s">
        <v>63</v>
      </c>
      <c r="B7" s="2" t="s">
        <v>64</v>
      </c>
      <c r="C7" s="2" t="s">
        <v>50</v>
      </c>
      <c r="D7" s="3" t="s">
        <v>65</v>
      </c>
      <c r="E7" s="3" t="s">
        <v>66</v>
      </c>
      <c r="F7" s="3" t="s">
        <v>67</v>
      </c>
      <c r="G7" s="3" t="s">
        <v>54</v>
      </c>
      <c r="H7" s="4">
        <v>120</v>
      </c>
      <c r="I7" s="4">
        <v>24</v>
      </c>
      <c r="J7" s="5">
        <f t="shared" si="0"/>
        <v>0.2</v>
      </c>
      <c r="K7" s="6">
        <v>0.2</v>
      </c>
      <c r="L7" s="6">
        <v>0.154</v>
      </c>
      <c r="M7" s="6">
        <v>0.35699999999999998</v>
      </c>
      <c r="N7" s="3" t="s">
        <v>68</v>
      </c>
      <c r="O7" s="7" t="s">
        <v>56</v>
      </c>
      <c r="P7" s="3" t="s">
        <v>69</v>
      </c>
      <c r="Q7" s="3" t="s">
        <v>70</v>
      </c>
      <c r="R7" s="8" t="s">
        <v>71</v>
      </c>
    </row>
    <row r="8" spans="1:18" ht="60.95" customHeight="1" x14ac:dyDescent="0.25">
      <c r="A8" s="9" t="s">
        <v>72</v>
      </c>
      <c r="B8" s="9" t="s">
        <v>73</v>
      </c>
      <c r="C8" s="9" t="s">
        <v>50</v>
      </c>
      <c r="D8" s="10" t="s">
        <v>74</v>
      </c>
      <c r="E8" s="10" t="s">
        <v>75</v>
      </c>
      <c r="F8" s="10" t="s">
        <v>76</v>
      </c>
      <c r="G8" s="10" t="s">
        <v>77</v>
      </c>
      <c r="H8" s="11">
        <v>1772</v>
      </c>
      <c r="I8" s="11">
        <v>209</v>
      </c>
      <c r="J8" s="12">
        <f t="shared" si="0"/>
        <v>0.11794582392776523</v>
      </c>
      <c r="K8" s="13">
        <v>0.11799999999999999</v>
      </c>
      <c r="L8" s="13">
        <v>9.8000000000000004E-2</v>
      </c>
      <c r="M8" s="13">
        <v>0.13700000000000001</v>
      </c>
      <c r="N8" s="10" t="s">
        <v>55</v>
      </c>
      <c r="O8" s="14" t="s">
        <v>56</v>
      </c>
      <c r="P8" s="10" t="s">
        <v>78</v>
      </c>
      <c r="Q8" s="10" t="s">
        <v>79</v>
      </c>
      <c r="R8" s="15" t="s">
        <v>80</v>
      </c>
    </row>
    <row r="9" spans="1:18" ht="60.95" customHeight="1" x14ac:dyDescent="0.25">
      <c r="A9" s="2" t="s">
        <v>81</v>
      </c>
      <c r="B9" s="2" t="s">
        <v>82</v>
      </c>
      <c r="C9" s="2" t="s">
        <v>83</v>
      </c>
      <c r="D9" s="3" t="s">
        <v>84</v>
      </c>
      <c r="E9" s="3" t="s">
        <v>85</v>
      </c>
      <c r="F9" s="3" t="s">
        <v>86</v>
      </c>
      <c r="G9" s="3" t="s">
        <v>54</v>
      </c>
      <c r="H9" s="4">
        <v>404</v>
      </c>
      <c r="I9" s="4">
        <v>103</v>
      </c>
      <c r="J9" s="5">
        <f t="shared" si="0"/>
        <v>0.25495049504950495</v>
      </c>
      <c r="K9" s="6">
        <v>0.255</v>
      </c>
      <c r="L9" s="6"/>
      <c r="M9" s="6"/>
      <c r="N9" s="3" t="s">
        <v>68</v>
      </c>
      <c r="O9" s="7" t="s">
        <v>56</v>
      </c>
      <c r="P9" s="3" t="s">
        <v>87</v>
      </c>
      <c r="Q9" s="3" t="s">
        <v>88</v>
      </c>
      <c r="R9" s="8" t="s">
        <v>89</v>
      </c>
    </row>
    <row r="10" spans="1:18" ht="60.95" customHeight="1" x14ac:dyDescent="0.25">
      <c r="A10" s="9" t="s">
        <v>90</v>
      </c>
      <c r="B10" s="9" t="s">
        <v>91</v>
      </c>
      <c r="C10" s="9" t="s">
        <v>83</v>
      </c>
      <c r="D10" s="10" t="s">
        <v>92</v>
      </c>
      <c r="E10" s="10" t="s">
        <v>93</v>
      </c>
      <c r="F10" s="10" t="s">
        <v>94</v>
      </c>
      <c r="G10" s="10" t="s">
        <v>95</v>
      </c>
      <c r="H10" s="11">
        <v>409</v>
      </c>
      <c r="I10" s="11"/>
      <c r="J10" s="12" t="str">
        <f t="shared" si="0"/>
        <v/>
      </c>
      <c r="K10" s="13">
        <v>0.70699999999999996</v>
      </c>
      <c r="L10" s="13"/>
      <c r="M10" s="13"/>
      <c r="N10" s="10" t="s">
        <v>55</v>
      </c>
      <c r="O10" s="14" t="s">
        <v>96</v>
      </c>
      <c r="P10" s="10" t="s">
        <v>97</v>
      </c>
      <c r="Q10" s="10" t="s">
        <v>98</v>
      </c>
      <c r="R10" s="15" t="s">
        <v>99</v>
      </c>
    </row>
    <row r="11" spans="1:18" ht="60.95" customHeight="1" x14ac:dyDescent="0.25">
      <c r="A11" s="2" t="s">
        <v>100</v>
      </c>
      <c r="B11" s="2" t="s">
        <v>101</v>
      </c>
      <c r="C11" s="2" t="s">
        <v>102</v>
      </c>
      <c r="D11" s="3" t="s">
        <v>103</v>
      </c>
      <c r="E11" s="3" t="s">
        <v>104</v>
      </c>
      <c r="F11" s="3" t="s">
        <v>105</v>
      </c>
      <c r="G11" s="3" t="s">
        <v>77</v>
      </c>
      <c r="H11" s="4">
        <v>272</v>
      </c>
      <c r="I11" s="4">
        <v>213</v>
      </c>
      <c r="J11" s="5">
        <f t="shared" si="0"/>
        <v>0.78308823529411764</v>
      </c>
      <c r="K11" s="6">
        <v>0.78300000000000003</v>
      </c>
      <c r="L11" s="6">
        <v>0.72899999999999998</v>
      </c>
      <c r="M11" s="6">
        <v>0.83099999999999996</v>
      </c>
      <c r="N11" s="3" t="s">
        <v>55</v>
      </c>
      <c r="O11" s="7" t="s">
        <v>56</v>
      </c>
      <c r="P11" s="3" t="s">
        <v>106</v>
      </c>
      <c r="Q11" s="3" t="s">
        <v>107</v>
      </c>
      <c r="R11" s="8" t="s">
        <v>108</v>
      </c>
    </row>
    <row r="12" spans="1:18" ht="60.95" customHeight="1" x14ac:dyDescent="0.25">
      <c r="A12" s="9" t="s">
        <v>109</v>
      </c>
      <c r="B12" s="9" t="s">
        <v>101</v>
      </c>
      <c r="C12" s="9" t="s">
        <v>102</v>
      </c>
      <c r="D12" s="10" t="s">
        <v>110</v>
      </c>
      <c r="E12" s="10" t="s">
        <v>111</v>
      </c>
      <c r="F12" s="10" t="s">
        <v>105</v>
      </c>
      <c r="G12" s="10" t="s">
        <v>77</v>
      </c>
      <c r="H12" s="11">
        <v>109</v>
      </c>
      <c r="I12" s="11">
        <v>0</v>
      </c>
      <c r="J12" s="12">
        <f t="shared" si="0"/>
        <v>0</v>
      </c>
      <c r="K12" s="13">
        <v>0</v>
      </c>
      <c r="L12" s="13"/>
      <c r="M12" s="13"/>
      <c r="N12" s="10" t="s">
        <v>55</v>
      </c>
      <c r="O12" s="14" t="s">
        <v>56</v>
      </c>
      <c r="P12" s="10" t="s">
        <v>112</v>
      </c>
      <c r="Q12" s="10" t="s">
        <v>107</v>
      </c>
      <c r="R12" s="15" t="s">
        <v>108</v>
      </c>
    </row>
    <row r="13" spans="1:18" ht="60.95" customHeight="1" x14ac:dyDescent="0.25">
      <c r="A13" s="2" t="s">
        <v>113</v>
      </c>
      <c r="B13" s="2" t="s">
        <v>101</v>
      </c>
      <c r="C13" s="2" t="s">
        <v>50</v>
      </c>
      <c r="D13" s="3" t="s">
        <v>114</v>
      </c>
      <c r="E13" s="3" t="s">
        <v>111</v>
      </c>
      <c r="F13" s="3" t="s">
        <v>105</v>
      </c>
      <c r="G13" s="3" t="s">
        <v>77</v>
      </c>
      <c r="H13" s="4">
        <v>52</v>
      </c>
      <c r="I13" s="4">
        <v>3</v>
      </c>
      <c r="J13" s="5">
        <f t="shared" si="0"/>
        <v>5.7692307692307696E-2</v>
      </c>
      <c r="K13" s="6">
        <v>5.8000000000000003E-2</v>
      </c>
      <c r="L13" s="6">
        <v>1.21E-2</v>
      </c>
      <c r="M13" s="6">
        <v>0.16</v>
      </c>
      <c r="N13" s="3" t="s">
        <v>55</v>
      </c>
      <c r="O13" s="7" t="s">
        <v>56</v>
      </c>
      <c r="P13" s="3" t="s">
        <v>115</v>
      </c>
      <c r="Q13" s="3" t="s">
        <v>107</v>
      </c>
      <c r="R13" s="8" t="s">
        <v>108</v>
      </c>
    </row>
    <row r="14" spans="1:18" ht="60.95" customHeight="1" x14ac:dyDescent="0.25">
      <c r="A14" s="9" t="s">
        <v>116</v>
      </c>
      <c r="B14" s="9" t="s">
        <v>117</v>
      </c>
      <c r="C14" s="9" t="s">
        <v>118</v>
      </c>
      <c r="D14" s="10" t="s">
        <v>119</v>
      </c>
      <c r="E14" s="10" t="s">
        <v>120</v>
      </c>
      <c r="F14" s="10" t="s">
        <v>121</v>
      </c>
      <c r="G14" s="10" t="s">
        <v>54</v>
      </c>
      <c r="H14" s="11">
        <v>2120</v>
      </c>
      <c r="I14" s="11">
        <v>371</v>
      </c>
      <c r="J14" s="12">
        <f t="shared" si="0"/>
        <v>0.17499999999999999</v>
      </c>
      <c r="K14" s="13">
        <v>0.18</v>
      </c>
      <c r="L14" s="13">
        <v>0.14799999999999999</v>
      </c>
      <c r="M14" s="13">
        <v>0.21199999999999999</v>
      </c>
      <c r="N14" s="10" t="s">
        <v>68</v>
      </c>
      <c r="O14" s="14" t="s">
        <v>56</v>
      </c>
      <c r="P14" s="10" t="s">
        <v>122</v>
      </c>
      <c r="Q14" s="10" t="s">
        <v>123</v>
      </c>
      <c r="R14" s="15" t="s">
        <v>124</v>
      </c>
    </row>
    <row r="15" spans="1:18" ht="60.95" customHeight="1" x14ac:dyDescent="0.25">
      <c r="A15" s="2" t="s">
        <v>125</v>
      </c>
      <c r="B15" s="2" t="s">
        <v>126</v>
      </c>
      <c r="C15" s="2" t="s">
        <v>127</v>
      </c>
      <c r="D15" s="3" t="s">
        <v>128</v>
      </c>
      <c r="E15" s="3" t="s">
        <v>129</v>
      </c>
      <c r="F15" s="3" t="s">
        <v>130</v>
      </c>
      <c r="G15" s="3" t="s">
        <v>77</v>
      </c>
      <c r="H15" s="4">
        <v>435</v>
      </c>
      <c r="I15" s="4">
        <v>41</v>
      </c>
      <c r="J15" s="5">
        <f t="shared" si="0"/>
        <v>9.4252873563218389E-2</v>
      </c>
      <c r="K15" s="6">
        <v>9.4E-2</v>
      </c>
      <c r="L15" s="6"/>
      <c r="M15" s="6"/>
      <c r="N15" s="3" t="s">
        <v>131</v>
      </c>
      <c r="O15" s="7" t="s">
        <v>56</v>
      </c>
      <c r="P15" s="3" t="s">
        <v>132</v>
      </c>
      <c r="Q15" s="3" t="s">
        <v>133</v>
      </c>
      <c r="R15" s="8" t="s">
        <v>134</v>
      </c>
    </row>
    <row r="16" spans="1:18" ht="60.95" customHeight="1" x14ac:dyDescent="0.25">
      <c r="A16" s="9" t="s">
        <v>135</v>
      </c>
      <c r="B16" s="9" t="s">
        <v>126</v>
      </c>
      <c r="C16" s="9" t="s">
        <v>127</v>
      </c>
      <c r="D16" s="10" t="s">
        <v>128</v>
      </c>
      <c r="E16" s="10" t="s">
        <v>129</v>
      </c>
      <c r="F16" s="10" t="s">
        <v>136</v>
      </c>
      <c r="G16" s="10" t="s">
        <v>77</v>
      </c>
      <c r="H16" s="11">
        <v>642</v>
      </c>
      <c r="I16" s="11">
        <v>66</v>
      </c>
      <c r="J16" s="12">
        <f t="shared" si="0"/>
        <v>0.10280373831775701</v>
      </c>
      <c r="K16" s="13">
        <v>0.10299999999999999</v>
      </c>
      <c r="L16" s="13"/>
      <c r="M16" s="13"/>
      <c r="N16" s="16" t="s">
        <v>137</v>
      </c>
      <c r="O16" s="14" t="s">
        <v>56</v>
      </c>
      <c r="P16" s="10" t="s">
        <v>138</v>
      </c>
      <c r="Q16" s="10" t="s">
        <v>133</v>
      </c>
      <c r="R16" s="15" t="s">
        <v>134</v>
      </c>
    </row>
    <row r="17" spans="1:18" ht="60.95" customHeight="1" x14ac:dyDescent="0.25">
      <c r="A17" s="2" t="s">
        <v>139</v>
      </c>
      <c r="B17" s="2" t="s">
        <v>140</v>
      </c>
      <c r="C17" s="2" t="s">
        <v>50</v>
      </c>
      <c r="D17" s="3" t="s">
        <v>141</v>
      </c>
      <c r="E17" s="3" t="s">
        <v>142</v>
      </c>
      <c r="F17" s="3" t="s">
        <v>143</v>
      </c>
      <c r="G17" s="3" t="s">
        <v>54</v>
      </c>
      <c r="H17" s="4">
        <v>1981</v>
      </c>
      <c r="I17" s="4"/>
      <c r="J17" s="5" t="str">
        <f t="shared" si="0"/>
        <v/>
      </c>
      <c r="K17" s="6">
        <v>0.221</v>
      </c>
      <c r="L17" s="6">
        <v>0.16700000000000001</v>
      </c>
      <c r="M17" s="6">
        <v>0.28599999999999998</v>
      </c>
      <c r="N17" s="3" t="s">
        <v>68</v>
      </c>
      <c r="O17" s="7" t="s">
        <v>96</v>
      </c>
      <c r="P17" s="3" t="s">
        <v>144</v>
      </c>
      <c r="Q17" s="3" t="s">
        <v>145</v>
      </c>
      <c r="R17" s="8" t="s">
        <v>146</v>
      </c>
    </row>
    <row r="18" spans="1:18" ht="60.95" customHeight="1" x14ac:dyDescent="0.25">
      <c r="A18" s="9" t="s">
        <v>147</v>
      </c>
      <c r="B18" s="9" t="s">
        <v>148</v>
      </c>
      <c r="C18" s="9" t="s">
        <v>102</v>
      </c>
      <c r="D18" s="10" t="s">
        <v>149</v>
      </c>
      <c r="E18" s="10" t="s">
        <v>150</v>
      </c>
      <c r="F18" s="10" t="s">
        <v>151</v>
      </c>
      <c r="G18" s="10" t="s">
        <v>54</v>
      </c>
      <c r="H18" s="11">
        <v>2070</v>
      </c>
      <c r="I18" s="11">
        <v>770</v>
      </c>
      <c r="J18" s="12">
        <f t="shared" si="0"/>
        <v>0.3719806763285024</v>
      </c>
      <c r="K18" s="13">
        <v>0.372</v>
      </c>
      <c r="L18" s="13">
        <v>0.34</v>
      </c>
      <c r="M18" s="13">
        <v>0.40400000000000003</v>
      </c>
      <c r="N18" s="10" t="s">
        <v>68</v>
      </c>
      <c r="O18" s="14" t="s">
        <v>56</v>
      </c>
      <c r="P18" s="10" t="s">
        <v>152</v>
      </c>
      <c r="Q18" s="10" t="s">
        <v>153</v>
      </c>
      <c r="R18" s="15" t="s">
        <v>154</v>
      </c>
    </row>
    <row r="19" spans="1:18" ht="60.95" customHeight="1" x14ac:dyDescent="0.25">
      <c r="A19" s="2" t="s">
        <v>155</v>
      </c>
      <c r="B19" s="2" t="s">
        <v>156</v>
      </c>
      <c r="C19" s="2" t="s">
        <v>157</v>
      </c>
      <c r="D19" s="3" t="s">
        <v>158</v>
      </c>
      <c r="E19" s="3" t="s">
        <v>159</v>
      </c>
      <c r="F19" s="3" t="s">
        <v>160</v>
      </c>
      <c r="G19" s="3" t="s">
        <v>54</v>
      </c>
      <c r="H19" s="4">
        <v>1405</v>
      </c>
      <c r="I19" s="4"/>
      <c r="J19" s="5" t="str">
        <f t="shared" si="0"/>
        <v/>
      </c>
      <c r="K19" s="6">
        <v>5.3999999999999999E-2</v>
      </c>
      <c r="L19" s="6">
        <v>4.3999999999999997E-2</v>
      </c>
      <c r="M19" s="6">
        <v>6.7000000000000004E-2</v>
      </c>
      <c r="N19" s="3" t="s">
        <v>68</v>
      </c>
      <c r="O19" s="7" t="s">
        <v>96</v>
      </c>
      <c r="P19" s="3" t="s">
        <v>161</v>
      </c>
      <c r="Q19" s="3" t="s">
        <v>162</v>
      </c>
      <c r="R19" s="8" t="s">
        <v>163</v>
      </c>
    </row>
    <row r="20" spans="1:18" ht="60.95" customHeight="1" x14ac:dyDescent="0.25">
      <c r="A20" s="9" t="s">
        <v>164</v>
      </c>
      <c r="B20" s="9" t="s">
        <v>165</v>
      </c>
      <c r="C20" s="9" t="s">
        <v>166</v>
      </c>
      <c r="D20" s="10" t="s">
        <v>167</v>
      </c>
      <c r="E20" s="10" t="s">
        <v>168</v>
      </c>
      <c r="F20" s="10" t="s">
        <v>169</v>
      </c>
      <c r="G20" s="10" t="s">
        <v>77</v>
      </c>
      <c r="H20" s="11">
        <v>442</v>
      </c>
      <c r="I20" s="11">
        <v>1</v>
      </c>
      <c r="J20" s="12">
        <f t="shared" si="0"/>
        <v>2.2624434389140274E-3</v>
      </c>
      <c r="K20" s="13">
        <v>2E-3</v>
      </c>
      <c r="L20" s="13"/>
      <c r="M20" s="13"/>
      <c r="N20" s="10" t="s">
        <v>131</v>
      </c>
      <c r="O20" s="14" t="s">
        <v>56</v>
      </c>
      <c r="P20" s="10" t="s">
        <v>170</v>
      </c>
      <c r="Q20" s="10" t="s">
        <v>171</v>
      </c>
      <c r="R20" s="15" t="s">
        <v>172</v>
      </c>
    </row>
    <row r="21" spans="1:18" ht="60.95" customHeight="1" x14ac:dyDescent="0.25">
      <c r="A21" s="2" t="s">
        <v>173</v>
      </c>
      <c r="B21" s="2" t="s">
        <v>165</v>
      </c>
      <c r="C21" s="2" t="s">
        <v>174</v>
      </c>
      <c r="D21" s="3" t="s">
        <v>175</v>
      </c>
      <c r="E21" s="3" t="s">
        <v>176</v>
      </c>
      <c r="F21" s="3" t="s">
        <v>169</v>
      </c>
      <c r="G21" s="3" t="s">
        <v>77</v>
      </c>
      <c r="H21" s="4">
        <v>455</v>
      </c>
      <c r="I21" s="4">
        <v>0</v>
      </c>
      <c r="J21" s="5">
        <f t="shared" si="0"/>
        <v>0</v>
      </c>
      <c r="K21" s="6">
        <v>0</v>
      </c>
      <c r="L21" s="6"/>
      <c r="M21" s="6"/>
      <c r="N21" s="3" t="s">
        <v>131</v>
      </c>
      <c r="O21" s="7" t="s">
        <v>56</v>
      </c>
      <c r="P21" s="3" t="s">
        <v>177</v>
      </c>
      <c r="Q21" s="3" t="s">
        <v>171</v>
      </c>
      <c r="R21" s="8" t="s">
        <v>172</v>
      </c>
    </row>
    <row r="22" spans="1:18" ht="60.95" customHeight="1" x14ac:dyDescent="0.25">
      <c r="A22" s="9" t="s">
        <v>178</v>
      </c>
      <c r="B22" s="9" t="s">
        <v>179</v>
      </c>
      <c r="C22" s="9" t="s">
        <v>157</v>
      </c>
      <c r="D22" s="10" t="s">
        <v>180</v>
      </c>
      <c r="E22" s="10" t="s">
        <v>181</v>
      </c>
      <c r="F22" s="10" t="s">
        <v>169</v>
      </c>
      <c r="G22" s="10" t="s">
        <v>77</v>
      </c>
      <c r="H22" s="11">
        <v>450</v>
      </c>
      <c r="I22" s="11">
        <v>4</v>
      </c>
      <c r="J22" s="12">
        <f t="shared" si="0"/>
        <v>8.8888888888888889E-3</v>
      </c>
      <c r="K22" s="13">
        <v>8.8999999999999999E-3</v>
      </c>
      <c r="L22" s="13"/>
      <c r="M22" s="13"/>
      <c r="N22" s="10" t="s">
        <v>131</v>
      </c>
      <c r="O22" s="14" t="s">
        <v>56</v>
      </c>
      <c r="P22" s="10" t="s">
        <v>182</v>
      </c>
      <c r="Q22" s="10" t="s">
        <v>183</v>
      </c>
      <c r="R22" s="15" t="s">
        <v>184</v>
      </c>
    </row>
    <row r="23" spans="1:18" ht="60.95" customHeight="1" x14ac:dyDescent="0.25">
      <c r="A23" s="2" t="s">
        <v>185</v>
      </c>
      <c r="B23" s="2" t="s">
        <v>186</v>
      </c>
      <c r="C23" s="2" t="s">
        <v>50</v>
      </c>
      <c r="D23" s="3" t="s">
        <v>187</v>
      </c>
      <c r="E23" s="3" t="s">
        <v>188</v>
      </c>
      <c r="F23" s="3" t="s">
        <v>189</v>
      </c>
      <c r="G23" s="3" t="s">
        <v>77</v>
      </c>
      <c r="H23" s="4">
        <v>376</v>
      </c>
      <c r="I23" s="4">
        <v>23</v>
      </c>
      <c r="J23" s="5">
        <f t="shared" si="0"/>
        <v>6.1170212765957445E-2</v>
      </c>
      <c r="K23" s="6">
        <v>6.0999999999999999E-2</v>
      </c>
      <c r="L23" s="6"/>
      <c r="M23" s="6"/>
      <c r="N23" s="3" t="s">
        <v>55</v>
      </c>
      <c r="O23" s="7" t="s">
        <v>56</v>
      </c>
      <c r="P23" s="3" t="s">
        <v>190</v>
      </c>
      <c r="Q23" s="3" t="s">
        <v>191</v>
      </c>
      <c r="R23" s="8" t="s">
        <v>192</v>
      </c>
    </row>
    <row r="24" spans="1:18" ht="60.95" customHeight="1" x14ac:dyDescent="0.25">
      <c r="A24" s="9" t="s">
        <v>193</v>
      </c>
      <c r="B24" s="9" t="s">
        <v>186</v>
      </c>
      <c r="C24" s="9" t="s">
        <v>50</v>
      </c>
      <c r="D24" s="10" t="s">
        <v>194</v>
      </c>
      <c r="E24" s="10" t="s">
        <v>188</v>
      </c>
      <c r="F24" s="10" t="s">
        <v>189</v>
      </c>
      <c r="G24" s="10" t="s">
        <v>77</v>
      </c>
      <c r="H24" s="11">
        <v>337</v>
      </c>
      <c r="I24" s="11">
        <v>16</v>
      </c>
      <c r="J24" s="12">
        <f t="shared" si="0"/>
        <v>4.7477744807121663E-2</v>
      </c>
      <c r="K24" s="13">
        <v>4.8000000000000001E-2</v>
      </c>
      <c r="L24" s="13"/>
      <c r="M24" s="13"/>
      <c r="N24" s="10" t="s">
        <v>55</v>
      </c>
      <c r="O24" s="14" t="s">
        <v>56</v>
      </c>
      <c r="P24" s="10" t="s">
        <v>190</v>
      </c>
      <c r="Q24" s="10" t="s">
        <v>191</v>
      </c>
      <c r="R24" s="15" t="s">
        <v>192</v>
      </c>
    </row>
    <row r="25" spans="1:18" ht="60.95" customHeight="1" x14ac:dyDescent="0.25">
      <c r="A25" s="2" t="s">
        <v>195</v>
      </c>
      <c r="B25" s="2" t="s">
        <v>186</v>
      </c>
      <c r="C25" s="2" t="s">
        <v>50</v>
      </c>
      <c r="D25" s="3" t="s">
        <v>196</v>
      </c>
      <c r="E25" s="3" t="s">
        <v>188</v>
      </c>
      <c r="F25" s="3" t="s">
        <v>189</v>
      </c>
      <c r="G25" s="3" t="s">
        <v>77</v>
      </c>
      <c r="H25" s="4">
        <v>305</v>
      </c>
      <c r="I25" s="4">
        <v>69</v>
      </c>
      <c r="J25" s="5">
        <f t="shared" si="0"/>
        <v>0.2262295081967213</v>
      </c>
      <c r="K25" s="6">
        <v>0.22600000000000001</v>
      </c>
      <c r="L25" s="6"/>
      <c r="M25" s="6"/>
      <c r="N25" s="3" t="s">
        <v>55</v>
      </c>
      <c r="O25" s="7" t="s">
        <v>56</v>
      </c>
      <c r="P25" s="3" t="s">
        <v>190</v>
      </c>
      <c r="Q25" s="3" t="s">
        <v>191</v>
      </c>
      <c r="R25" s="8" t="s">
        <v>192</v>
      </c>
    </row>
    <row r="26" spans="1:18" ht="60.95" customHeight="1" x14ac:dyDescent="0.25">
      <c r="A26" s="9" t="s">
        <v>197</v>
      </c>
      <c r="B26" s="9" t="s">
        <v>186</v>
      </c>
      <c r="C26" s="9" t="s">
        <v>50</v>
      </c>
      <c r="D26" s="10" t="s">
        <v>198</v>
      </c>
      <c r="E26" s="10" t="s">
        <v>188</v>
      </c>
      <c r="F26" s="10" t="s">
        <v>189</v>
      </c>
      <c r="G26" s="10" t="s">
        <v>77</v>
      </c>
      <c r="H26" s="11">
        <v>298</v>
      </c>
      <c r="I26" s="11">
        <v>13</v>
      </c>
      <c r="J26" s="12">
        <f t="shared" si="0"/>
        <v>4.3624161073825503E-2</v>
      </c>
      <c r="K26" s="13">
        <v>4.2999999999999997E-2</v>
      </c>
      <c r="L26" s="13"/>
      <c r="M26" s="13"/>
      <c r="N26" s="10" t="s">
        <v>55</v>
      </c>
      <c r="O26" s="14" t="s">
        <v>56</v>
      </c>
      <c r="P26" s="10" t="s">
        <v>190</v>
      </c>
      <c r="Q26" s="10" t="s">
        <v>191</v>
      </c>
      <c r="R26" s="15" t="s">
        <v>192</v>
      </c>
    </row>
    <row r="27" spans="1:18" ht="60.95" customHeight="1" x14ac:dyDescent="0.25">
      <c r="A27" s="2" t="s">
        <v>199</v>
      </c>
      <c r="B27" s="2" t="s">
        <v>186</v>
      </c>
      <c r="C27" s="2" t="s">
        <v>50</v>
      </c>
      <c r="D27" s="3" t="s">
        <v>200</v>
      </c>
      <c r="E27" s="3" t="s">
        <v>188</v>
      </c>
      <c r="F27" s="3" t="s">
        <v>189</v>
      </c>
      <c r="G27" s="3" t="s">
        <v>77</v>
      </c>
      <c r="H27" s="4">
        <v>1316</v>
      </c>
      <c r="I27" s="4">
        <v>121</v>
      </c>
      <c r="J27" s="5">
        <f t="shared" si="0"/>
        <v>9.1945288753799398E-2</v>
      </c>
      <c r="K27" s="6">
        <v>9.1999999999999998E-2</v>
      </c>
      <c r="L27" s="6"/>
      <c r="M27" s="6"/>
      <c r="N27" s="16" t="s">
        <v>201</v>
      </c>
      <c r="O27" s="7" t="s">
        <v>56</v>
      </c>
      <c r="P27" s="3" t="s">
        <v>190</v>
      </c>
      <c r="Q27" s="3" t="s">
        <v>191</v>
      </c>
      <c r="R27" s="8" t="s">
        <v>192</v>
      </c>
    </row>
    <row r="28" spans="1:18" ht="60.95" customHeight="1" x14ac:dyDescent="0.25">
      <c r="A28" s="9" t="s">
        <v>202</v>
      </c>
      <c r="B28" s="9" t="s">
        <v>203</v>
      </c>
      <c r="C28" s="9" t="s">
        <v>50</v>
      </c>
      <c r="D28" s="10" t="s">
        <v>204</v>
      </c>
      <c r="E28" s="10" t="s">
        <v>205</v>
      </c>
      <c r="F28" s="10" t="s">
        <v>206</v>
      </c>
      <c r="G28" s="10" t="s">
        <v>207</v>
      </c>
      <c r="H28" s="11">
        <v>348</v>
      </c>
      <c r="I28" s="11">
        <v>23</v>
      </c>
      <c r="J28" s="12">
        <f t="shared" si="0"/>
        <v>6.6091954022988508E-2</v>
      </c>
      <c r="K28" s="13">
        <v>7.0000000000000007E-2</v>
      </c>
      <c r="L28" s="13"/>
      <c r="M28" s="13"/>
      <c r="N28" s="10" t="s">
        <v>131</v>
      </c>
      <c r="O28" s="14" t="s">
        <v>56</v>
      </c>
      <c r="P28" s="10" t="s">
        <v>208</v>
      </c>
      <c r="Q28" s="10" t="s">
        <v>209</v>
      </c>
      <c r="R28" s="15" t="s">
        <v>210</v>
      </c>
    </row>
    <row r="29" spans="1:18" ht="60.95" customHeight="1" x14ac:dyDescent="0.25">
      <c r="A29" s="2" t="s">
        <v>211</v>
      </c>
      <c r="B29" s="2" t="s">
        <v>212</v>
      </c>
      <c r="C29" s="2" t="s">
        <v>83</v>
      </c>
      <c r="D29" s="3" t="s">
        <v>213</v>
      </c>
      <c r="E29" s="3" t="s">
        <v>214</v>
      </c>
      <c r="F29" s="3" t="s">
        <v>215</v>
      </c>
      <c r="G29" s="3" t="s">
        <v>216</v>
      </c>
      <c r="H29" s="4">
        <v>559</v>
      </c>
      <c r="I29" s="4">
        <v>190</v>
      </c>
      <c r="J29" s="5">
        <f t="shared" si="0"/>
        <v>0.33989266547406083</v>
      </c>
      <c r="K29" s="6">
        <v>0.34</v>
      </c>
      <c r="L29" s="6">
        <v>0.30199999999999999</v>
      </c>
      <c r="M29" s="6">
        <v>0.38</v>
      </c>
      <c r="N29" s="3" t="s">
        <v>131</v>
      </c>
      <c r="O29" s="7" t="s">
        <v>56</v>
      </c>
      <c r="P29" s="3" t="s">
        <v>217</v>
      </c>
      <c r="Q29" s="3" t="s">
        <v>218</v>
      </c>
      <c r="R29" s="8" t="s">
        <v>219</v>
      </c>
    </row>
    <row r="30" spans="1:18" ht="60.95" customHeight="1" x14ac:dyDescent="0.25">
      <c r="A30" s="9" t="s">
        <v>220</v>
      </c>
      <c r="B30" s="9" t="s">
        <v>212</v>
      </c>
      <c r="C30" s="9" t="s">
        <v>83</v>
      </c>
      <c r="D30" s="10" t="s">
        <v>213</v>
      </c>
      <c r="E30" s="10" t="s">
        <v>221</v>
      </c>
      <c r="F30" s="10" t="s">
        <v>215</v>
      </c>
      <c r="G30" s="10" t="s">
        <v>216</v>
      </c>
      <c r="H30" s="11">
        <v>559</v>
      </c>
      <c r="I30" s="11">
        <v>175</v>
      </c>
      <c r="J30" s="12">
        <f t="shared" si="0"/>
        <v>0.31305903398926654</v>
      </c>
      <c r="K30" s="13">
        <v>0.313</v>
      </c>
      <c r="L30" s="13">
        <v>0.27600000000000002</v>
      </c>
      <c r="M30" s="13">
        <v>0.35299999999999998</v>
      </c>
      <c r="N30" s="10" t="s">
        <v>131</v>
      </c>
      <c r="O30" s="14" t="s">
        <v>56</v>
      </c>
      <c r="P30" s="10" t="s">
        <v>217</v>
      </c>
      <c r="Q30" s="10" t="s">
        <v>218</v>
      </c>
      <c r="R30" s="15" t="s">
        <v>219</v>
      </c>
    </row>
    <row r="31" spans="1:18" ht="60.95" customHeight="1" x14ac:dyDescent="0.25">
      <c r="A31" s="2" t="s">
        <v>222</v>
      </c>
      <c r="B31" s="2" t="s">
        <v>223</v>
      </c>
      <c r="C31" s="2" t="s">
        <v>224</v>
      </c>
      <c r="D31" s="3" t="s">
        <v>225</v>
      </c>
      <c r="E31" s="3" t="s">
        <v>226</v>
      </c>
      <c r="F31" s="3" t="s">
        <v>227</v>
      </c>
      <c r="G31" s="3" t="s">
        <v>228</v>
      </c>
      <c r="H31" s="4">
        <v>135</v>
      </c>
      <c r="I31" s="4">
        <v>1</v>
      </c>
      <c r="J31" s="5">
        <f t="shared" si="0"/>
        <v>7.4074074074074077E-3</v>
      </c>
      <c r="K31" s="6">
        <v>7.0000000000000001E-3</v>
      </c>
      <c r="L31" s="6"/>
      <c r="M31" s="6"/>
      <c r="N31" s="16" t="s">
        <v>229</v>
      </c>
      <c r="O31" s="7" t="s">
        <v>56</v>
      </c>
      <c r="P31" s="3" t="s">
        <v>230</v>
      </c>
      <c r="Q31" s="3" t="s">
        <v>231</v>
      </c>
      <c r="R31" s="8" t="s">
        <v>232</v>
      </c>
    </row>
    <row r="32" spans="1:18" ht="60.95" customHeight="1" x14ac:dyDescent="0.25">
      <c r="A32" s="9" t="s">
        <v>233</v>
      </c>
      <c r="B32" s="9" t="s">
        <v>234</v>
      </c>
      <c r="C32" s="9" t="s">
        <v>50</v>
      </c>
      <c r="D32" s="10" t="s">
        <v>235</v>
      </c>
      <c r="E32" s="10" t="s">
        <v>236</v>
      </c>
      <c r="F32" s="10" t="s">
        <v>237</v>
      </c>
      <c r="G32" s="10" t="s">
        <v>77</v>
      </c>
      <c r="H32" s="11">
        <v>302</v>
      </c>
      <c r="I32" s="11"/>
      <c r="J32" s="12" t="str">
        <f t="shared" si="0"/>
        <v/>
      </c>
      <c r="K32" s="13">
        <v>7.5999999999999998E-2</v>
      </c>
      <c r="L32" s="13"/>
      <c r="M32" s="13"/>
      <c r="N32" s="16" t="s">
        <v>238</v>
      </c>
      <c r="O32" s="14" t="s">
        <v>96</v>
      </c>
      <c r="P32" s="10" t="s">
        <v>239</v>
      </c>
      <c r="Q32" s="10" t="s">
        <v>240</v>
      </c>
      <c r="R32" s="15" t="s">
        <v>241</v>
      </c>
    </row>
    <row r="33" spans="1:18" ht="60.95" customHeight="1" x14ac:dyDescent="0.25">
      <c r="A33" s="2" t="s">
        <v>242</v>
      </c>
      <c r="B33" s="2" t="s">
        <v>243</v>
      </c>
      <c r="C33" s="2" t="s">
        <v>174</v>
      </c>
      <c r="D33" s="3" t="s">
        <v>244</v>
      </c>
      <c r="E33" s="3" t="s">
        <v>245</v>
      </c>
      <c r="F33" s="3" t="s">
        <v>246</v>
      </c>
      <c r="G33" s="3" t="s">
        <v>247</v>
      </c>
      <c r="H33" s="4">
        <v>526</v>
      </c>
      <c r="I33" s="4">
        <v>7</v>
      </c>
      <c r="J33" s="5">
        <f t="shared" si="0"/>
        <v>1.3307984790874524E-2</v>
      </c>
      <c r="K33" s="6">
        <v>1.3299999999999999E-2</v>
      </c>
      <c r="L33" s="6"/>
      <c r="M33" s="6"/>
      <c r="N33" s="3" t="s">
        <v>131</v>
      </c>
      <c r="O33" s="7" t="s">
        <v>56</v>
      </c>
      <c r="P33" s="3" t="s">
        <v>248</v>
      </c>
      <c r="Q33" s="3" t="s">
        <v>249</v>
      </c>
      <c r="R33" s="8" t="s">
        <v>250</v>
      </c>
    </row>
    <row r="34" spans="1:18" ht="60.95" customHeight="1" x14ac:dyDescent="0.25">
      <c r="A34" s="9" t="s">
        <v>251</v>
      </c>
      <c r="B34" s="9" t="s">
        <v>252</v>
      </c>
      <c r="C34" s="9" t="s">
        <v>174</v>
      </c>
      <c r="D34" s="10" t="s">
        <v>253</v>
      </c>
      <c r="E34" s="10" t="s">
        <v>254</v>
      </c>
      <c r="F34" s="10" t="s">
        <v>255</v>
      </c>
      <c r="G34" s="10" t="s">
        <v>77</v>
      </c>
      <c r="H34" s="11">
        <v>341</v>
      </c>
      <c r="I34" s="11">
        <v>1</v>
      </c>
      <c r="J34" s="12">
        <f t="shared" si="0"/>
        <v>2.9325513196480938E-3</v>
      </c>
      <c r="K34" s="13">
        <v>2E-3</v>
      </c>
      <c r="L34" s="13">
        <v>0</v>
      </c>
      <c r="M34" s="13">
        <v>1.6E-2</v>
      </c>
      <c r="N34" s="10" t="s">
        <v>256</v>
      </c>
      <c r="O34" s="14" t="s">
        <v>56</v>
      </c>
      <c r="P34" s="10" t="s">
        <v>257</v>
      </c>
      <c r="Q34" s="10" t="s">
        <v>258</v>
      </c>
      <c r="R34" s="15" t="s">
        <v>259</v>
      </c>
    </row>
    <row r="35" spans="1:18" ht="60.95" customHeight="1" x14ac:dyDescent="0.25">
      <c r="A35" s="2" t="s">
        <v>260</v>
      </c>
      <c r="B35" s="2" t="s">
        <v>252</v>
      </c>
      <c r="C35" s="2" t="s">
        <v>174</v>
      </c>
      <c r="D35" s="3" t="s">
        <v>253</v>
      </c>
      <c r="E35" s="3" t="s">
        <v>261</v>
      </c>
      <c r="F35" s="3" t="s">
        <v>255</v>
      </c>
      <c r="G35" s="3" t="s">
        <v>77</v>
      </c>
      <c r="H35" s="4">
        <v>341</v>
      </c>
      <c r="I35" s="4">
        <v>3</v>
      </c>
      <c r="J35" s="5">
        <f t="shared" si="0"/>
        <v>8.7976539589442824E-3</v>
      </c>
      <c r="K35" s="6">
        <v>8.0000000000000002E-3</v>
      </c>
      <c r="L35" s="6">
        <v>3.0000000000000001E-3</v>
      </c>
      <c r="M35" s="6">
        <v>2.5999999999999999E-2</v>
      </c>
      <c r="N35" s="3" t="s">
        <v>256</v>
      </c>
      <c r="O35" s="7" t="s">
        <v>56</v>
      </c>
      <c r="P35" s="3" t="s">
        <v>257</v>
      </c>
      <c r="Q35" s="3" t="s">
        <v>258</v>
      </c>
      <c r="R35" s="8" t="s">
        <v>259</v>
      </c>
    </row>
    <row r="36" spans="1:18" ht="60.95" customHeight="1" x14ac:dyDescent="0.25">
      <c r="A36" s="9" t="s">
        <v>262</v>
      </c>
      <c r="B36" s="9" t="s">
        <v>252</v>
      </c>
      <c r="C36" s="9" t="s">
        <v>174</v>
      </c>
      <c r="D36" s="10" t="s">
        <v>253</v>
      </c>
      <c r="E36" s="10" t="s">
        <v>263</v>
      </c>
      <c r="F36" s="10" t="s">
        <v>255</v>
      </c>
      <c r="G36" s="10" t="s">
        <v>77</v>
      </c>
      <c r="H36" s="11">
        <v>341</v>
      </c>
      <c r="I36" s="11">
        <v>4</v>
      </c>
      <c r="J36" s="12">
        <f t="shared" si="0"/>
        <v>1.1730205278592375E-2</v>
      </c>
      <c r="K36" s="13">
        <v>1.17E-2</v>
      </c>
      <c r="L36" s="13">
        <v>4.0000000000000001E-3</v>
      </c>
      <c r="M36" s="13">
        <v>0.03</v>
      </c>
      <c r="N36" s="10" t="s">
        <v>256</v>
      </c>
      <c r="O36" s="14" t="s">
        <v>56</v>
      </c>
      <c r="P36" s="10" t="s">
        <v>257</v>
      </c>
      <c r="Q36" s="10" t="s">
        <v>258</v>
      </c>
      <c r="R36" s="15" t="s">
        <v>259</v>
      </c>
    </row>
    <row r="37" spans="1:18" ht="60.95" customHeight="1" x14ac:dyDescent="0.25">
      <c r="A37" s="2" t="s">
        <v>264</v>
      </c>
      <c r="B37" s="2" t="s">
        <v>252</v>
      </c>
      <c r="C37" s="2" t="s">
        <v>174</v>
      </c>
      <c r="D37" s="3" t="s">
        <v>253</v>
      </c>
      <c r="E37" s="3" t="s">
        <v>265</v>
      </c>
      <c r="F37" s="3" t="s">
        <v>255</v>
      </c>
      <c r="G37" s="3" t="s">
        <v>77</v>
      </c>
      <c r="H37" s="4">
        <v>341</v>
      </c>
      <c r="I37" s="4">
        <v>8</v>
      </c>
      <c r="J37" s="5">
        <f t="shared" si="0"/>
        <v>2.3460410557184751E-2</v>
      </c>
      <c r="K37" s="6">
        <v>2.3400000000000001E-2</v>
      </c>
      <c r="L37" s="6">
        <v>1.0999999999999999E-2</v>
      </c>
      <c r="M37" s="6">
        <v>4.5999999999999999E-2</v>
      </c>
      <c r="N37" s="3" t="s">
        <v>256</v>
      </c>
      <c r="O37" s="7" t="s">
        <v>56</v>
      </c>
      <c r="P37" s="3" t="s">
        <v>257</v>
      </c>
      <c r="Q37" s="3" t="s">
        <v>258</v>
      </c>
      <c r="R37" s="8" t="s">
        <v>259</v>
      </c>
    </row>
    <row r="38" spans="1:18" ht="60.95" customHeight="1" x14ac:dyDescent="0.25">
      <c r="A38" s="9" t="s">
        <v>266</v>
      </c>
      <c r="B38" s="9" t="s">
        <v>252</v>
      </c>
      <c r="C38" s="9" t="s">
        <v>174</v>
      </c>
      <c r="D38" s="10" t="s">
        <v>267</v>
      </c>
      <c r="E38" s="10" t="s">
        <v>268</v>
      </c>
      <c r="F38" s="10" t="s">
        <v>269</v>
      </c>
      <c r="G38" s="10" t="s">
        <v>270</v>
      </c>
      <c r="H38" s="11">
        <v>497</v>
      </c>
      <c r="I38" s="11">
        <v>22</v>
      </c>
      <c r="J38" s="12">
        <f t="shared" si="0"/>
        <v>4.4265593561368208E-2</v>
      </c>
      <c r="K38" s="13">
        <v>4.4200000000000003E-2</v>
      </c>
      <c r="L38" s="13"/>
      <c r="M38" s="13"/>
      <c r="N38" s="16" t="s">
        <v>271</v>
      </c>
      <c r="O38" s="14" t="s">
        <v>56</v>
      </c>
      <c r="P38" s="10" t="s">
        <v>272</v>
      </c>
      <c r="Q38" s="10" t="s">
        <v>258</v>
      </c>
      <c r="R38" s="15" t="s">
        <v>259</v>
      </c>
    </row>
    <row r="39" spans="1:18" ht="60.95" customHeight="1" x14ac:dyDescent="0.25">
      <c r="A39" s="2" t="s">
        <v>273</v>
      </c>
      <c r="B39" s="2" t="s">
        <v>274</v>
      </c>
      <c r="C39" s="2" t="s">
        <v>118</v>
      </c>
      <c r="D39" s="3" t="s">
        <v>275</v>
      </c>
      <c r="E39" s="3" t="s">
        <v>276</v>
      </c>
      <c r="F39" s="3" t="s">
        <v>277</v>
      </c>
      <c r="G39" s="3" t="s">
        <v>278</v>
      </c>
      <c r="H39" s="4">
        <v>778</v>
      </c>
      <c r="I39" s="4"/>
      <c r="J39" s="5" t="str">
        <f t="shared" si="0"/>
        <v/>
      </c>
      <c r="K39" s="6">
        <v>0.21299999999999999</v>
      </c>
      <c r="L39" s="6"/>
      <c r="M39" s="6"/>
      <c r="N39" s="16" t="s">
        <v>279</v>
      </c>
      <c r="O39" s="7" t="s">
        <v>96</v>
      </c>
      <c r="P39" s="3" t="s">
        <v>280</v>
      </c>
      <c r="Q39" s="3" t="s">
        <v>281</v>
      </c>
      <c r="R39" s="8" t="s">
        <v>282</v>
      </c>
    </row>
    <row r="40" spans="1:18" ht="60.95" customHeight="1" x14ac:dyDescent="0.25">
      <c r="A40" s="9" t="s">
        <v>283</v>
      </c>
      <c r="B40" s="9" t="s">
        <v>284</v>
      </c>
      <c r="C40" s="9" t="s">
        <v>50</v>
      </c>
      <c r="D40" s="10" t="s">
        <v>285</v>
      </c>
      <c r="E40" s="10" t="s">
        <v>286</v>
      </c>
      <c r="F40" s="10" t="s">
        <v>287</v>
      </c>
      <c r="G40" s="10" t="s">
        <v>288</v>
      </c>
      <c r="H40" s="11">
        <v>300</v>
      </c>
      <c r="I40" s="11">
        <v>17</v>
      </c>
      <c r="J40" s="12">
        <f t="shared" si="0"/>
        <v>5.6666666666666664E-2</v>
      </c>
      <c r="K40" s="13">
        <v>5.7000000000000002E-2</v>
      </c>
      <c r="L40" s="13"/>
      <c r="M40" s="13"/>
      <c r="N40" s="10" t="s">
        <v>55</v>
      </c>
      <c r="O40" s="14" t="s">
        <v>56</v>
      </c>
      <c r="P40" s="10" t="s">
        <v>289</v>
      </c>
      <c r="Q40" s="10" t="s">
        <v>290</v>
      </c>
      <c r="R40" s="15" t="s">
        <v>291</v>
      </c>
    </row>
  </sheetData>
  <autoFilter ref="A4:R40" xr:uid="{00000000-0009-0000-0000-000001000000}"/>
  <mergeCells count="2">
    <mergeCell ref="A2:H2"/>
    <mergeCell ref="A1:H1"/>
  </mergeCells>
  <hyperlinks>
    <hyperlink ref="R5" r:id="rId1" xr:uid="{00000000-0004-0000-0100-000000000000}"/>
    <hyperlink ref="R6" r:id="rId2" xr:uid="{00000000-0004-0000-0100-000001000000}"/>
    <hyperlink ref="R7" r:id="rId3" xr:uid="{00000000-0004-0000-0100-000002000000}"/>
    <hyperlink ref="R8" r:id="rId4" xr:uid="{00000000-0004-0000-0100-000003000000}"/>
    <hyperlink ref="R9" r:id="rId5" xr:uid="{00000000-0004-0000-0100-000004000000}"/>
    <hyperlink ref="R10" r:id="rId6" xr:uid="{00000000-0004-0000-0100-000005000000}"/>
    <hyperlink ref="R11" r:id="rId7" xr:uid="{00000000-0004-0000-0100-000006000000}"/>
    <hyperlink ref="R12" r:id="rId8" xr:uid="{00000000-0004-0000-0100-000007000000}"/>
    <hyperlink ref="R13" r:id="rId9" xr:uid="{00000000-0004-0000-0100-000008000000}"/>
    <hyperlink ref="R14" r:id="rId10" xr:uid="{00000000-0004-0000-0100-000009000000}"/>
    <hyperlink ref="R15" r:id="rId11" xr:uid="{00000000-0004-0000-0100-00000A000000}"/>
    <hyperlink ref="R16" r:id="rId12" xr:uid="{00000000-0004-0000-0100-00000B000000}"/>
    <hyperlink ref="R17" r:id="rId13" xr:uid="{00000000-0004-0000-0100-00000C000000}"/>
    <hyperlink ref="R18" r:id="rId14" xr:uid="{00000000-0004-0000-0100-00000D000000}"/>
    <hyperlink ref="R19" r:id="rId15" xr:uid="{00000000-0004-0000-0100-00000E000000}"/>
    <hyperlink ref="R20" r:id="rId16" xr:uid="{00000000-0004-0000-0100-00000F000000}"/>
    <hyperlink ref="R21" r:id="rId17" xr:uid="{00000000-0004-0000-0100-000010000000}"/>
    <hyperlink ref="R22" r:id="rId18" xr:uid="{00000000-0004-0000-0100-000011000000}"/>
    <hyperlink ref="R23" r:id="rId19" xr:uid="{00000000-0004-0000-0100-000012000000}"/>
    <hyperlink ref="R24" r:id="rId20" xr:uid="{00000000-0004-0000-0100-000013000000}"/>
    <hyperlink ref="R25" r:id="rId21" xr:uid="{00000000-0004-0000-0100-000014000000}"/>
    <hyperlink ref="R26" r:id="rId22" xr:uid="{00000000-0004-0000-0100-000015000000}"/>
    <hyperlink ref="R27" r:id="rId23" xr:uid="{00000000-0004-0000-0100-000016000000}"/>
    <hyperlink ref="R28" r:id="rId24" xr:uid="{00000000-0004-0000-0100-000017000000}"/>
    <hyperlink ref="R29" r:id="rId25" xr:uid="{00000000-0004-0000-0100-000018000000}"/>
    <hyperlink ref="R30" r:id="rId26" xr:uid="{00000000-0004-0000-0100-000019000000}"/>
    <hyperlink ref="R31" r:id="rId27" xr:uid="{00000000-0004-0000-0100-00001A000000}"/>
    <hyperlink ref="R32" r:id="rId28" xr:uid="{00000000-0004-0000-0100-00001B000000}"/>
    <hyperlink ref="R33" r:id="rId29" xr:uid="{00000000-0004-0000-0100-00001C000000}"/>
    <hyperlink ref="R34" r:id="rId30" xr:uid="{00000000-0004-0000-0100-00001D000000}"/>
    <hyperlink ref="R35" r:id="rId31" xr:uid="{00000000-0004-0000-0100-00001E000000}"/>
    <hyperlink ref="R36" r:id="rId32" xr:uid="{00000000-0004-0000-0100-00001F000000}"/>
    <hyperlink ref="R37" r:id="rId33" xr:uid="{00000000-0004-0000-0100-000020000000}"/>
    <hyperlink ref="R38" r:id="rId34" xr:uid="{00000000-0004-0000-0100-000021000000}"/>
    <hyperlink ref="R39" r:id="rId35" xr:uid="{00000000-0004-0000-0100-000022000000}"/>
    <hyperlink ref="R40" r:id="rId36" xr:uid="{00000000-0004-0000-0100-000023000000}"/>
  </hyperlinks>
  <printOptions horizontalCentered="1"/>
  <pageMargins left="0.75" right="0.75" top="1" bottom="1" header="0.5" footer="0.5"/>
  <pageSetup paperSize="8" fitToHeight="0" orientation="landscape"/>
  <legacy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B73"/>
    <pageSetUpPr fitToPage="1"/>
  </sheetPr>
  <dimension ref="A1:U60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16" customWidth="1"/>
    <col min="5" max="6" width="34" customWidth="1"/>
    <col min="7" max="7" width="30" customWidth="1"/>
    <col min="8" max="9" width="16" customWidth="1"/>
    <col min="10" max="13" width="19" customWidth="1"/>
    <col min="14" max="14" width="16" customWidth="1"/>
    <col min="15" max="15" width="34" customWidth="1"/>
    <col min="16" max="16" width="16" customWidth="1"/>
    <col min="17" max="18" width="30" customWidth="1"/>
    <col min="19" max="19" width="16" customWidth="1"/>
    <col min="20" max="20" width="44" customWidth="1"/>
    <col min="21" max="21" width="58" customWidth="1"/>
  </cols>
  <sheetData>
    <row r="1" spans="1:21" ht="33" customHeight="1" x14ac:dyDescent="0.4">
      <c r="A1" s="29" t="s">
        <v>292</v>
      </c>
      <c r="B1" s="22"/>
      <c r="C1" s="22"/>
      <c r="D1" s="22"/>
      <c r="E1" s="22"/>
      <c r="F1" s="22"/>
      <c r="G1" s="22"/>
      <c r="H1" s="22"/>
    </row>
    <row r="2" spans="1:21" ht="42" customHeight="1" x14ac:dyDescent="0.25">
      <c r="A2" s="28" t="s">
        <v>293</v>
      </c>
      <c r="B2" s="22"/>
      <c r="C2" s="22"/>
      <c r="D2" s="22"/>
      <c r="E2" s="22"/>
      <c r="F2" s="22"/>
      <c r="G2" s="22"/>
      <c r="H2" s="22"/>
    </row>
    <row r="4" spans="1:21" ht="33.950000000000003" customHeight="1" x14ac:dyDescent="0.25">
      <c r="A4" s="1" t="s">
        <v>294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295</v>
      </c>
      <c r="O4" s="1" t="s">
        <v>296</v>
      </c>
      <c r="P4" s="1" t="s">
        <v>297</v>
      </c>
      <c r="Q4" s="1" t="s">
        <v>44</v>
      </c>
      <c r="R4" s="1" t="s">
        <v>298</v>
      </c>
      <c r="S4" s="1" t="s">
        <v>299</v>
      </c>
      <c r="T4" s="1" t="s">
        <v>47</v>
      </c>
      <c r="U4" s="1" t="s">
        <v>300</v>
      </c>
    </row>
    <row r="5" spans="1:21" ht="60.95" customHeight="1" x14ac:dyDescent="0.25">
      <c r="A5" s="2" t="s">
        <v>301</v>
      </c>
      <c r="B5" s="2" t="s">
        <v>48</v>
      </c>
      <c r="C5" s="2" t="s">
        <v>49</v>
      </c>
      <c r="D5" s="2" t="s">
        <v>50</v>
      </c>
      <c r="E5" s="3" t="s">
        <v>51</v>
      </c>
      <c r="F5" s="3" t="s">
        <v>52</v>
      </c>
      <c r="G5" s="3" t="s">
        <v>54</v>
      </c>
      <c r="H5" s="4">
        <v>385</v>
      </c>
      <c r="I5" s="4">
        <v>220</v>
      </c>
      <c r="J5" s="5">
        <f t="shared" ref="J5:J36" si="0">IF(OR(H5="",I5="",H5=0),"",I5/H5)</f>
        <v>0.5714285714285714</v>
      </c>
      <c r="K5" s="6">
        <v>0.57099999999999995</v>
      </c>
      <c r="L5" s="6"/>
      <c r="M5" s="6"/>
      <c r="N5" s="3" t="s">
        <v>302</v>
      </c>
      <c r="O5" s="3" t="s">
        <v>303</v>
      </c>
      <c r="P5" s="3" t="b">
        <v>1</v>
      </c>
      <c r="Q5" s="7" t="s">
        <v>56</v>
      </c>
      <c r="R5" s="3" t="s">
        <v>304</v>
      </c>
      <c r="S5" s="3" t="s">
        <v>305</v>
      </c>
      <c r="T5" s="8" t="s">
        <v>59</v>
      </c>
      <c r="U5" s="7"/>
    </row>
    <row r="6" spans="1:21" ht="60.95" customHeight="1" x14ac:dyDescent="0.25">
      <c r="A6" s="9" t="s">
        <v>306</v>
      </c>
      <c r="B6" s="9" t="s">
        <v>48</v>
      </c>
      <c r="C6" s="9" t="s">
        <v>49</v>
      </c>
      <c r="D6" s="9" t="s">
        <v>50</v>
      </c>
      <c r="E6" s="10" t="s">
        <v>51</v>
      </c>
      <c r="F6" s="10" t="s">
        <v>52</v>
      </c>
      <c r="G6" s="10" t="s">
        <v>307</v>
      </c>
      <c r="H6" s="11">
        <v>385</v>
      </c>
      <c r="I6" s="11">
        <v>163</v>
      </c>
      <c r="J6" s="12">
        <f t="shared" si="0"/>
        <v>0.42337662337662335</v>
      </c>
      <c r="K6" s="13"/>
      <c r="L6" s="13"/>
      <c r="M6" s="13"/>
      <c r="N6" s="10" t="s">
        <v>302</v>
      </c>
      <c r="O6" s="10" t="s">
        <v>308</v>
      </c>
      <c r="P6" s="10" t="b">
        <v>0</v>
      </c>
      <c r="Q6" s="14" t="s">
        <v>56</v>
      </c>
      <c r="R6" s="10" t="s">
        <v>304</v>
      </c>
      <c r="S6" s="10" t="s">
        <v>309</v>
      </c>
      <c r="T6" s="15" t="s">
        <v>59</v>
      </c>
      <c r="U6" s="14" t="s">
        <v>310</v>
      </c>
    </row>
    <row r="7" spans="1:21" ht="60.95" customHeight="1" x14ac:dyDescent="0.25">
      <c r="A7" s="2" t="s">
        <v>311</v>
      </c>
      <c r="B7" s="2" t="s">
        <v>48</v>
      </c>
      <c r="C7" s="2" t="s">
        <v>49</v>
      </c>
      <c r="D7" s="2" t="s">
        <v>50</v>
      </c>
      <c r="E7" s="3" t="s">
        <v>51</v>
      </c>
      <c r="F7" s="3" t="s">
        <v>52</v>
      </c>
      <c r="G7" s="3" t="s">
        <v>228</v>
      </c>
      <c r="H7" s="4">
        <v>385</v>
      </c>
      <c r="I7" s="4">
        <v>25</v>
      </c>
      <c r="J7" s="5">
        <f t="shared" si="0"/>
        <v>6.4935064935064929E-2</v>
      </c>
      <c r="K7" s="6"/>
      <c r="L7" s="6"/>
      <c r="M7" s="6"/>
      <c r="N7" s="3" t="s">
        <v>302</v>
      </c>
      <c r="O7" s="3" t="s">
        <v>308</v>
      </c>
      <c r="P7" s="3" t="b">
        <v>0</v>
      </c>
      <c r="Q7" s="7" t="s">
        <v>56</v>
      </c>
      <c r="R7" s="3" t="s">
        <v>304</v>
      </c>
      <c r="S7" s="3" t="s">
        <v>309</v>
      </c>
      <c r="T7" s="8" t="s">
        <v>59</v>
      </c>
      <c r="U7" s="7" t="s">
        <v>310</v>
      </c>
    </row>
    <row r="8" spans="1:21" ht="60.95" customHeight="1" x14ac:dyDescent="0.25">
      <c r="A8" s="9" t="s">
        <v>312</v>
      </c>
      <c r="B8" s="9" t="s">
        <v>48</v>
      </c>
      <c r="C8" s="9" t="s">
        <v>49</v>
      </c>
      <c r="D8" s="9" t="s">
        <v>50</v>
      </c>
      <c r="E8" s="10" t="s">
        <v>51</v>
      </c>
      <c r="F8" s="10" t="s">
        <v>52</v>
      </c>
      <c r="G8" s="10" t="s">
        <v>313</v>
      </c>
      <c r="H8" s="11">
        <v>385</v>
      </c>
      <c r="I8" s="11">
        <v>32</v>
      </c>
      <c r="J8" s="12">
        <f t="shared" si="0"/>
        <v>8.3116883116883117E-2</v>
      </c>
      <c r="K8" s="13"/>
      <c r="L8" s="13"/>
      <c r="M8" s="13"/>
      <c r="N8" s="10" t="s">
        <v>302</v>
      </c>
      <c r="O8" s="10" t="s">
        <v>308</v>
      </c>
      <c r="P8" s="10" t="b">
        <v>0</v>
      </c>
      <c r="Q8" s="14" t="s">
        <v>56</v>
      </c>
      <c r="R8" s="10" t="s">
        <v>304</v>
      </c>
      <c r="S8" s="10" t="s">
        <v>309</v>
      </c>
      <c r="T8" s="15" t="s">
        <v>59</v>
      </c>
      <c r="U8" s="14" t="s">
        <v>310</v>
      </c>
    </row>
    <row r="9" spans="1:21" ht="60.95" customHeight="1" x14ac:dyDescent="0.25">
      <c r="A9" s="2" t="s">
        <v>314</v>
      </c>
      <c r="B9" s="2" t="s">
        <v>60</v>
      </c>
      <c r="C9" s="2" t="s">
        <v>49</v>
      </c>
      <c r="D9" s="2" t="s">
        <v>50</v>
      </c>
      <c r="E9" s="3" t="s">
        <v>61</v>
      </c>
      <c r="F9" s="3" t="s">
        <v>52</v>
      </c>
      <c r="G9" s="3" t="s">
        <v>54</v>
      </c>
      <c r="H9" s="4">
        <v>446</v>
      </c>
      <c r="I9" s="4">
        <v>204</v>
      </c>
      <c r="J9" s="5">
        <f t="shared" si="0"/>
        <v>0.45739910313901344</v>
      </c>
      <c r="K9" s="6">
        <v>0.45700000000000002</v>
      </c>
      <c r="L9" s="6"/>
      <c r="M9" s="6"/>
      <c r="N9" s="3" t="s">
        <v>302</v>
      </c>
      <c r="O9" s="3" t="s">
        <v>303</v>
      </c>
      <c r="P9" s="3" t="b">
        <v>1</v>
      </c>
      <c r="Q9" s="7" t="s">
        <v>56</v>
      </c>
      <c r="R9" s="3" t="s">
        <v>304</v>
      </c>
      <c r="S9" s="3" t="s">
        <v>305</v>
      </c>
      <c r="T9" s="8" t="s">
        <v>59</v>
      </c>
      <c r="U9" s="7"/>
    </row>
    <row r="10" spans="1:21" ht="60.95" customHeight="1" x14ac:dyDescent="0.25">
      <c r="A10" s="9" t="s">
        <v>315</v>
      </c>
      <c r="B10" s="9" t="s">
        <v>60</v>
      </c>
      <c r="C10" s="9" t="s">
        <v>49</v>
      </c>
      <c r="D10" s="9" t="s">
        <v>50</v>
      </c>
      <c r="E10" s="10" t="s">
        <v>61</v>
      </c>
      <c r="F10" s="10" t="s">
        <v>52</v>
      </c>
      <c r="G10" s="10" t="s">
        <v>307</v>
      </c>
      <c r="H10" s="11">
        <v>446</v>
      </c>
      <c r="I10" s="11">
        <v>138</v>
      </c>
      <c r="J10" s="12">
        <f t="shared" si="0"/>
        <v>0.3094170403587444</v>
      </c>
      <c r="K10" s="13"/>
      <c r="L10" s="13"/>
      <c r="M10" s="13"/>
      <c r="N10" s="10" t="s">
        <v>302</v>
      </c>
      <c r="O10" s="10" t="s">
        <v>308</v>
      </c>
      <c r="P10" s="10" t="b">
        <v>0</v>
      </c>
      <c r="Q10" s="14" t="s">
        <v>56</v>
      </c>
      <c r="R10" s="10" t="s">
        <v>304</v>
      </c>
      <c r="S10" s="10" t="s">
        <v>309</v>
      </c>
      <c r="T10" s="15" t="s">
        <v>59</v>
      </c>
      <c r="U10" s="14" t="s">
        <v>310</v>
      </c>
    </row>
    <row r="11" spans="1:21" ht="60.95" customHeight="1" x14ac:dyDescent="0.25">
      <c r="A11" s="2" t="s">
        <v>316</v>
      </c>
      <c r="B11" s="2" t="s">
        <v>60</v>
      </c>
      <c r="C11" s="2" t="s">
        <v>49</v>
      </c>
      <c r="D11" s="2" t="s">
        <v>50</v>
      </c>
      <c r="E11" s="3" t="s">
        <v>61</v>
      </c>
      <c r="F11" s="3" t="s">
        <v>52</v>
      </c>
      <c r="G11" s="3" t="s">
        <v>228</v>
      </c>
      <c r="H11" s="4">
        <v>446</v>
      </c>
      <c r="I11" s="4">
        <v>38</v>
      </c>
      <c r="J11" s="5">
        <f t="shared" si="0"/>
        <v>8.520179372197309E-2</v>
      </c>
      <c r="K11" s="6"/>
      <c r="L11" s="6"/>
      <c r="M11" s="6"/>
      <c r="N11" s="3" t="s">
        <v>302</v>
      </c>
      <c r="O11" s="3" t="s">
        <v>308</v>
      </c>
      <c r="P11" s="3" t="b">
        <v>0</v>
      </c>
      <c r="Q11" s="7" t="s">
        <v>56</v>
      </c>
      <c r="R11" s="3" t="s">
        <v>304</v>
      </c>
      <c r="S11" s="3" t="s">
        <v>309</v>
      </c>
      <c r="T11" s="8" t="s">
        <v>59</v>
      </c>
      <c r="U11" s="7" t="s">
        <v>310</v>
      </c>
    </row>
    <row r="12" spans="1:21" ht="60.95" customHeight="1" x14ac:dyDescent="0.25">
      <c r="A12" s="9" t="s">
        <v>317</v>
      </c>
      <c r="B12" s="9" t="s">
        <v>60</v>
      </c>
      <c r="C12" s="9" t="s">
        <v>49</v>
      </c>
      <c r="D12" s="9" t="s">
        <v>50</v>
      </c>
      <c r="E12" s="10" t="s">
        <v>61</v>
      </c>
      <c r="F12" s="10" t="s">
        <v>52</v>
      </c>
      <c r="G12" s="10" t="s">
        <v>313</v>
      </c>
      <c r="H12" s="11">
        <v>446</v>
      </c>
      <c r="I12" s="11">
        <v>28</v>
      </c>
      <c r="J12" s="12">
        <f t="shared" si="0"/>
        <v>6.2780269058295965E-2</v>
      </c>
      <c r="K12" s="13"/>
      <c r="L12" s="13"/>
      <c r="M12" s="13"/>
      <c r="N12" s="10" t="s">
        <v>302</v>
      </c>
      <c r="O12" s="10" t="s">
        <v>308</v>
      </c>
      <c r="P12" s="10" t="b">
        <v>0</v>
      </c>
      <c r="Q12" s="14" t="s">
        <v>56</v>
      </c>
      <c r="R12" s="10" t="s">
        <v>304</v>
      </c>
      <c r="S12" s="10" t="s">
        <v>309</v>
      </c>
      <c r="T12" s="15" t="s">
        <v>59</v>
      </c>
      <c r="U12" s="14" t="s">
        <v>310</v>
      </c>
    </row>
    <row r="13" spans="1:21" ht="60.95" customHeight="1" x14ac:dyDescent="0.25">
      <c r="A13" s="2" t="s">
        <v>318</v>
      </c>
      <c r="B13" s="2" t="s">
        <v>63</v>
      </c>
      <c r="C13" s="2" t="s">
        <v>64</v>
      </c>
      <c r="D13" s="2" t="s">
        <v>50</v>
      </c>
      <c r="E13" s="3" t="s">
        <v>65</v>
      </c>
      <c r="F13" s="3" t="s">
        <v>66</v>
      </c>
      <c r="G13" s="3" t="s">
        <v>54</v>
      </c>
      <c r="H13" s="4">
        <v>120</v>
      </c>
      <c r="I13" s="4">
        <v>24</v>
      </c>
      <c r="J13" s="5">
        <f t="shared" si="0"/>
        <v>0.2</v>
      </c>
      <c r="K13" s="6">
        <v>0.2</v>
      </c>
      <c r="L13" s="6">
        <v>0.154</v>
      </c>
      <c r="M13" s="6">
        <v>0.35699999999999998</v>
      </c>
      <c r="N13" s="3" t="s">
        <v>302</v>
      </c>
      <c r="O13" s="3" t="s">
        <v>303</v>
      </c>
      <c r="P13" s="3" t="b">
        <v>1</v>
      </c>
      <c r="Q13" s="7" t="s">
        <v>56</v>
      </c>
      <c r="R13" s="3" t="s">
        <v>304</v>
      </c>
      <c r="S13" s="3" t="s">
        <v>319</v>
      </c>
      <c r="T13" s="8" t="s">
        <v>71</v>
      </c>
      <c r="U13" s="7" t="s">
        <v>320</v>
      </c>
    </row>
    <row r="14" spans="1:21" ht="60.95" customHeight="1" x14ac:dyDescent="0.25">
      <c r="A14" s="9" t="s">
        <v>321</v>
      </c>
      <c r="B14" s="9" t="s">
        <v>63</v>
      </c>
      <c r="C14" s="9" t="s">
        <v>64</v>
      </c>
      <c r="D14" s="9" t="s">
        <v>50</v>
      </c>
      <c r="E14" s="10" t="s">
        <v>65</v>
      </c>
      <c r="F14" s="10" t="s">
        <v>66</v>
      </c>
      <c r="G14" s="10" t="s">
        <v>322</v>
      </c>
      <c r="H14" s="11">
        <v>120</v>
      </c>
      <c r="I14" s="11">
        <v>22</v>
      </c>
      <c r="J14" s="12">
        <f t="shared" si="0"/>
        <v>0.18333333333333332</v>
      </c>
      <c r="K14" s="13">
        <v>0.183</v>
      </c>
      <c r="L14" s="13"/>
      <c r="M14" s="13"/>
      <c r="N14" s="10" t="s">
        <v>302</v>
      </c>
      <c r="O14" s="10" t="s">
        <v>323</v>
      </c>
      <c r="P14" s="10" t="b">
        <v>0</v>
      </c>
      <c r="Q14" s="14" t="s">
        <v>56</v>
      </c>
      <c r="R14" s="10" t="s">
        <v>304</v>
      </c>
      <c r="S14" s="10" t="s">
        <v>324</v>
      </c>
      <c r="T14" s="15" t="s">
        <v>71</v>
      </c>
      <c r="U14" s="14" t="s">
        <v>325</v>
      </c>
    </row>
    <row r="15" spans="1:21" ht="60.95" customHeight="1" x14ac:dyDescent="0.25">
      <c r="A15" s="2" t="s">
        <v>326</v>
      </c>
      <c r="B15" s="2" t="s">
        <v>63</v>
      </c>
      <c r="C15" s="2" t="s">
        <v>64</v>
      </c>
      <c r="D15" s="2" t="s">
        <v>50</v>
      </c>
      <c r="E15" s="3" t="s">
        <v>65</v>
      </c>
      <c r="F15" s="3" t="s">
        <v>66</v>
      </c>
      <c r="G15" s="3" t="s">
        <v>327</v>
      </c>
      <c r="H15" s="4">
        <v>120</v>
      </c>
      <c r="I15" s="4">
        <v>6</v>
      </c>
      <c r="J15" s="5">
        <f t="shared" si="0"/>
        <v>0.05</v>
      </c>
      <c r="K15" s="6">
        <v>0.05</v>
      </c>
      <c r="L15" s="6"/>
      <c r="M15" s="6"/>
      <c r="N15" s="3" t="s">
        <v>302</v>
      </c>
      <c r="O15" s="3" t="s">
        <v>328</v>
      </c>
      <c r="P15" s="3" t="b">
        <v>0</v>
      </c>
      <c r="Q15" s="7" t="s">
        <v>56</v>
      </c>
      <c r="R15" s="3" t="s">
        <v>304</v>
      </c>
      <c r="S15" s="3" t="s">
        <v>324</v>
      </c>
      <c r="T15" s="8" t="s">
        <v>71</v>
      </c>
      <c r="U15" s="7" t="s">
        <v>329</v>
      </c>
    </row>
    <row r="16" spans="1:21" ht="60.95" customHeight="1" x14ac:dyDescent="0.25">
      <c r="A16" s="9" t="s">
        <v>330</v>
      </c>
      <c r="B16" s="9" t="s">
        <v>63</v>
      </c>
      <c r="C16" s="9" t="s">
        <v>64</v>
      </c>
      <c r="D16" s="9" t="s">
        <v>50</v>
      </c>
      <c r="E16" s="10" t="s">
        <v>65</v>
      </c>
      <c r="F16" s="10" t="s">
        <v>66</v>
      </c>
      <c r="G16" s="10" t="s">
        <v>313</v>
      </c>
      <c r="H16" s="11">
        <v>120</v>
      </c>
      <c r="I16" s="11">
        <v>4</v>
      </c>
      <c r="J16" s="12">
        <f t="shared" si="0"/>
        <v>3.3333333333333333E-2</v>
      </c>
      <c r="K16" s="13"/>
      <c r="L16" s="13"/>
      <c r="M16" s="13"/>
      <c r="N16" s="10" t="s">
        <v>302</v>
      </c>
      <c r="O16" s="10" t="s">
        <v>308</v>
      </c>
      <c r="P16" s="10" t="b">
        <v>0</v>
      </c>
      <c r="Q16" s="14" t="s">
        <v>56</v>
      </c>
      <c r="R16" s="10" t="s">
        <v>304</v>
      </c>
      <c r="S16" s="10" t="s">
        <v>324</v>
      </c>
      <c r="T16" s="15" t="s">
        <v>71</v>
      </c>
      <c r="U16" s="14" t="s">
        <v>331</v>
      </c>
    </row>
    <row r="17" spans="1:21" ht="60.95" customHeight="1" x14ac:dyDescent="0.25">
      <c r="A17" s="2" t="s">
        <v>332</v>
      </c>
      <c r="B17" s="2" t="s">
        <v>72</v>
      </c>
      <c r="C17" s="2" t="s">
        <v>73</v>
      </c>
      <c r="D17" s="2" t="s">
        <v>50</v>
      </c>
      <c r="E17" s="3" t="s">
        <v>74</v>
      </c>
      <c r="F17" s="3" t="s">
        <v>75</v>
      </c>
      <c r="G17" s="3" t="s">
        <v>77</v>
      </c>
      <c r="H17" s="4">
        <v>1772</v>
      </c>
      <c r="I17" s="4">
        <v>209</v>
      </c>
      <c r="J17" s="5">
        <f t="shared" si="0"/>
        <v>0.11794582392776523</v>
      </c>
      <c r="K17" s="6">
        <v>0.11799999999999999</v>
      </c>
      <c r="L17" s="6">
        <v>9.8000000000000004E-2</v>
      </c>
      <c r="M17" s="6">
        <v>0.13700000000000001</v>
      </c>
      <c r="N17" s="3" t="s">
        <v>333</v>
      </c>
      <c r="O17" s="3" t="s">
        <v>334</v>
      </c>
      <c r="P17" s="3" t="b">
        <v>1</v>
      </c>
      <c r="Q17" s="7" t="s">
        <v>56</v>
      </c>
      <c r="R17" s="3" t="s">
        <v>304</v>
      </c>
      <c r="S17" s="3" t="s">
        <v>335</v>
      </c>
      <c r="T17" s="8" t="s">
        <v>80</v>
      </c>
      <c r="U17" s="7"/>
    </row>
    <row r="18" spans="1:21" ht="60.95" customHeight="1" x14ac:dyDescent="0.25">
      <c r="A18" s="9" t="s">
        <v>336</v>
      </c>
      <c r="B18" s="9" t="s">
        <v>72</v>
      </c>
      <c r="C18" s="9" t="s">
        <v>73</v>
      </c>
      <c r="D18" s="9" t="s">
        <v>50</v>
      </c>
      <c r="E18" s="10" t="s">
        <v>74</v>
      </c>
      <c r="F18" s="10" t="s">
        <v>75</v>
      </c>
      <c r="G18" s="10" t="s">
        <v>337</v>
      </c>
      <c r="H18" s="11">
        <v>209</v>
      </c>
      <c r="I18" s="11">
        <v>49</v>
      </c>
      <c r="J18" s="12">
        <f t="shared" si="0"/>
        <v>0.23444976076555024</v>
      </c>
      <c r="K18" s="13"/>
      <c r="L18" s="13"/>
      <c r="M18" s="13"/>
      <c r="N18" s="10" t="s">
        <v>302</v>
      </c>
      <c r="O18" s="10" t="s">
        <v>338</v>
      </c>
      <c r="P18" s="10" t="b">
        <v>0</v>
      </c>
      <c r="Q18" s="14" t="s">
        <v>56</v>
      </c>
      <c r="R18" s="10" t="s">
        <v>304</v>
      </c>
      <c r="S18" s="10" t="s">
        <v>324</v>
      </c>
      <c r="T18" s="15" t="s">
        <v>80</v>
      </c>
      <c r="U18" s="14" t="s">
        <v>339</v>
      </c>
    </row>
    <row r="19" spans="1:21" ht="60.95" customHeight="1" x14ac:dyDescent="0.25">
      <c r="A19" s="2" t="s">
        <v>340</v>
      </c>
      <c r="B19" s="2" t="s">
        <v>81</v>
      </c>
      <c r="C19" s="2" t="s">
        <v>82</v>
      </c>
      <c r="D19" s="2" t="s">
        <v>83</v>
      </c>
      <c r="E19" s="3" t="s">
        <v>84</v>
      </c>
      <c r="F19" s="3" t="s">
        <v>85</v>
      </c>
      <c r="G19" s="3" t="s">
        <v>54</v>
      </c>
      <c r="H19" s="4">
        <v>404</v>
      </c>
      <c r="I19" s="4">
        <v>103</v>
      </c>
      <c r="J19" s="5">
        <f t="shared" si="0"/>
        <v>0.25495049504950495</v>
      </c>
      <c r="K19" s="6">
        <v>0.255</v>
      </c>
      <c r="L19" s="6"/>
      <c r="M19" s="6"/>
      <c r="N19" s="3" t="s">
        <v>302</v>
      </c>
      <c r="O19" s="3" t="s">
        <v>303</v>
      </c>
      <c r="P19" s="3" t="b">
        <v>1</v>
      </c>
      <c r="Q19" s="7" t="s">
        <v>56</v>
      </c>
      <c r="R19" s="3" t="s">
        <v>304</v>
      </c>
      <c r="S19" s="3" t="s">
        <v>341</v>
      </c>
      <c r="T19" s="8" t="s">
        <v>89</v>
      </c>
      <c r="U19" s="7" t="s">
        <v>342</v>
      </c>
    </row>
    <row r="20" spans="1:21" ht="60.95" customHeight="1" x14ac:dyDescent="0.25">
      <c r="A20" s="9" t="s">
        <v>343</v>
      </c>
      <c r="B20" s="9" t="s">
        <v>90</v>
      </c>
      <c r="C20" s="9" t="s">
        <v>91</v>
      </c>
      <c r="D20" s="9" t="s">
        <v>83</v>
      </c>
      <c r="E20" s="10" t="s">
        <v>92</v>
      </c>
      <c r="F20" s="10" t="s">
        <v>93</v>
      </c>
      <c r="G20" s="10" t="s">
        <v>95</v>
      </c>
      <c r="H20" s="11">
        <v>409</v>
      </c>
      <c r="I20" s="11"/>
      <c r="J20" s="12" t="str">
        <f t="shared" si="0"/>
        <v/>
      </c>
      <c r="K20" s="13">
        <v>0.70699999999999996</v>
      </c>
      <c r="L20" s="13"/>
      <c r="M20" s="13"/>
      <c r="N20" s="10" t="s">
        <v>302</v>
      </c>
      <c r="O20" s="10" t="s">
        <v>344</v>
      </c>
      <c r="P20" s="10" t="b">
        <v>1</v>
      </c>
      <c r="Q20" s="14" t="s">
        <v>96</v>
      </c>
      <c r="R20" s="10" t="s">
        <v>345</v>
      </c>
      <c r="S20" s="10" t="s">
        <v>346</v>
      </c>
      <c r="T20" s="15" t="s">
        <v>99</v>
      </c>
      <c r="U20" s="14" t="s">
        <v>347</v>
      </c>
    </row>
    <row r="21" spans="1:21" ht="60.95" customHeight="1" x14ac:dyDescent="0.25">
      <c r="A21" s="2" t="s">
        <v>348</v>
      </c>
      <c r="B21" s="2" t="s">
        <v>100</v>
      </c>
      <c r="C21" s="2" t="s">
        <v>101</v>
      </c>
      <c r="D21" s="2" t="s">
        <v>102</v>
      </c>
      <c r="E21" s="3" t="s">
        <v>103</v>
      </c>
      <c r="F21" s="3" t="s">
        <v>104</v>
      </c>
      <c r="G21" s="3" t="s">
        <v>77</v>
      </c>
      <c r="H21" s="4">
        <v>272</v>
      </c>
      <c r="I21" s="4">
        <v>213</v>
      </c>
      <c r="J21" s="5">
        <f t="shared" si="0"/>
        <v>0.78308823529411764</v>
      </c>
      <c r="K21" s="6">
        <v>0.78300000000000003</v>
      </c>
      <c r="L21" s="6">
        <v>0.72899999999999998</v>
      </c>
      <c r="M21" s="6">
        <v>0.83099999999999996</v>
      </c>
      <c r="N21" s="3" t="s">
        <v>302</v>
      </c>
      <c r="O21" s="3" t="s">
        <v>334</v>
      </c>
      <c r="P21" s="3" t="b">
        <v>1</v>
      </c>
      <c r="Q21" s="7" t="s">
        <v>56</v>
      </c>
      <c r="R21" s="3" t="s">
        <v>304</v>
      </c>
      <c r="S21" s="3" t="s">
        <v>349</v>
      </c>
      <c r="T21" s="8" t="s">
        <v>108</v>
      </c>
      <c r="U21" s="7"/>
    </row>
    <row r="22" spans="1:21" ht="60.95" customHeight="1" x14ac:dyDescent="0.25">
      <c r="A22" s="9" t="s">
        <v>350</v>
      </c>
      <c r="B22" s="9" t="s">
        <v>109</v>
      </c>
      <c r="C22" s="9" t="s">
        <v>101</v>
      </c>
      <c r="D22" s="9" t="s">
        <v>102</v>
      </c>
      <c r="E22" s="10" t="s">
        <v>110</v>
      </c>
      <c r="F22" s="10" t="s">
        <v>111</v>
      </c>
      <c r="G22" s="10" t="s">
        <v>77</v>
      </c>
      <c r="H22" s="11">
        <v>109</v>
      </c>
      <c r="I22" s="11">
        <v>0</v>
      </c>
      <c r="J22" s="12">
        <f t="shared" si="0"/>
        <v>0</v>
      </c>
      <c r="K22" s="13">
        <v>0</v>
      </c>
      <c r="L22" s="13"/>
      <c r="M22" s="13"/>
      <c r="N22" s="10" t="s">
        <v>302</v>
      </c>
      <c r="O22" s="10" t="s">
        <v>334</v>
      </c>
      <c r="P22" s="10" t="b">
        <v>1</v>
      </c>
      <c r="Q22" s="14" t="s">
        <v>56</v>
      </c>
      <c r="R22" s="10" t="s">
        <v>304</v>
      </c>
      <c r="S22" s="10" t="s">
        <v>349</v>
      </c>
      <c r="T22" s="15" t="s">
        <v>108</v>
      </c>
      <c r="U22" s="14"/>
    </row>
    <row r="23" spans="1:21" ht="60.95" customHeight="1" x14ac:dyDescent="0.25">
      <c r="A23" s="2" t="s">
        <v>351</v>
      </c>
      <c r="B23" s="2" t="s">
        <v>113</v>
      </c>
      <c r="C23" s="2" t="s">
        <v>101</v>
      </c>
      <c r="D23" s="2" t="s">
        <v>50</v>
      </c>
      <c r="E23" s="3" t="s">
        <v>114</v>
      </c>
      <c r="F23" s="3" t="s">
        <v>111</v>
      </c>
      <c r="G23" s="3" t="s">
        <v>77</v>
      </c>
      <c r="H23" s="4">
        <v>52</v>
      </c>
      <c r="I23" s="4">
        <v>3</v>
      </c>
      <c r="J23" s="5">
        <f t="shared" si="0"/>
        <v>5.7692307692307696E-2</v>
      </c>
      <c r="K23" s="6">
        <v>5.8000000000000003E-2</v>
      </c>
      <c r="L23" s="6">
        <v>1.21E-2</v>
      </c>
      <c r="M23" s="6">
        <v>0.16</v>
      </c>
      <c r="N23" s="3" t="s">
        <v>302</v>
      </c>
      <c r="O23" s="3" t="s">
        <v>334</v>
      </c>
      <c r="P23" s="3" t="b">
        <v>1</v>
      </c>
      <c r="Q23" s="7" t="s">
        <v>56</v>
      </c>
      <c r="R23" s="3" t="s">
        <v>304</v>
      </c>
      <c r="S23" s="3" t="s">
        <v>349</v>
      </c>
      <c r="T23" s="8" t="s">
        <v>108</v>
      </c>
      <c r="U23" s="7"/>
    </row>
    <row r="24" spans="1:21" ht="60.95" customHeight="1" x14ac:dyDescent="0.25">
      <c r="A24" s="9" t="s">
        <v>352</v>
      </c>
      <c r="B24" s="9" t="s">
        <v>116</v>
      </c>
      <c r="C24" s="9" t="s">
        <v>117</v>
      </c>
      <c r="D24" s="9" t="s">
        <v>118</v>
      </c>
      <c r="E24" s="10" t="s">
        <v>119</v>
      </c>
      <c r="F24" s="10" t="s">
        <v>120</v>
      </c>
      <c r="G24" s="10" t="s">
        <v>54</v>
      </c>
      <c r="H24" s="11">
        <v>2120</v>
      </c>
      <c r="I24" s="11">
        <v>371</v>
      </c>
      <c r="J24" s="12">
        <f t="shared" si="0"/>
        <v>0.17499999999999999</v>
      </c>
      <c r="K24" s="13">
        <v>0.18</v>
      </c>
      <c r="L24" s="13">
        <v>0.14799999999999999</v>
      </c>
      <c r="M24" s="13">
        <v>0.21199999999999999</v>
      </c>
      <c r="N24" s="10" t="s">
        <v>353</v>
      </c>
      <c r="O24" s="10" t="s">
        <v>354</v>
      </c>
      <c r="P24" s="10" t="b">
        <v>1</v>
      </c>
      <c r="Q24" s="14" t="s">
        <v>56</v>
      </c>
      <c r="R24" s="10" t="s">
        <v>304</v>
      </c>
      <c r="S24" s="10" t="s">
        <v>355</v>
      </c>
      <c r="T24" s="15" t="s">
        <v>124</v>
      </c>
      <c r="U24" s="14" t="s">
        <v>356</v>
      </c>
    </row>
    <row r="25" spans="1:21" ht="60.95" customHeight="1" x14ac:dyDescent="0.25">
      <c r="A25" s="2" t="s">
        <v>357</v>
      </c>
      <c r="B25" s="2" t="s">
        <v>125</v>
      </c>
      <c r="C25" s="2" t="s">
        <v>126</v>
      </c>
      <c r="D25" s="2" t="s">
        <v>127</v>
      </c>
      <c r="E25" s="3" t="s">
        <v>128</v>
      </c>
      <c r="F25" s="3" t="s">
        <v>129</v>
      </c>
      <c r="G25" s="3" t="s">
        <v>77</v>
      </c>
      <c r="H25" s="4">
        <v>435</v>
      </c>
      <c r="I25" s="4">
        <v>41</v>
      </c>
      <c r="J25" s="5">
        <f t="shared" si="0"/>
        <v>9.4252873563218389E-2</v>
      </c>
      <c r="K25" s="6">
        <v>9.4E-2</v>
      </c>
      <c r="L25" s="6"/>
      <c r="M25" s="6"/>
      <c r="N25" s="3" t="s">
        <v>302</v>
      </c>
      <c r="O25" s="3" t="s">
        <v>358</v>
      </c>
      <c r="P25" s="3" t="b">
        <v>1</v>
      </c>
      <c r="Q25" s="7" t="s">
        <v>56</v>
      </c>
      <c r="R25" s="3" t="s">
        <v>359</v>
      </c>
      <c r="S25" s="3" t="s">
        <v>324</v>
      </c>
      <c r="T25" s="8" t="s">
        <v>134</v>
      </c>
      <c r="U25" s="7"/>
    </row>
    <row r="26" spans="1:21" ht="60.95" customHeight="1" x14ac:dyDescent="0.25">
      <c r="A26" s="9" t="s">
        <v>360</v>
      </c>
      <c r="B26" s="9" t="s">
        <v>125</v>
      </c>
      <c r="C26" s="9" t="s">
        <v>126</v>
      </c>
      <c r="D26" s="9" t="s">
        <v>127</v>
      </c>
      <c r="E26" s="10" t="s">
        <v>128</v>
      </c>
      <c r="F26" s="10" t="s">
        <v>129</v>
      </c>
      <c r="G26" s="10" t="s">
        <v>270</v>
      </c>
      <c r="H26" s="11">
        <v>435</v>
      </c>
      <c r="I26" s="11">
        <v>0</v>
      </c>
      <c r="J26" s="12">
        <f t="shared" si="0"/>
        <v>0</v>
      </c>
      <c r="K26" s="13">
        <v>0</v>
      </c>
      <c r="L26" s="13"/>
      <c r="M26" s="13"/>
      <c r="N26" s="10" t="s">
        <v>302</v>
      </c>
      <c r="O26" s="10" t="s">
        <v>361</v>
      </c>
      <c r="P26" s="10" t="b">
        <v>0</v>
      </c>
      <c r="Q26" s="14" t="s">
        <v>56</v>
      </c>
      <c r="R26" s="10" t="s">
        <v>359</v>
      </c>
      <c r="S26" s="10" t="s">
        <v>324</v>
      </c>
      <c r="T26" s="15" t="s">
        <v>134</v>
      </c>
      <c r="U26" s="14" t="s">
        <v>362</v>
      </c>
    </row>
    <row r="27" spans="1:21" ht="60.95" customHeight="1" x14ac:dyDescent="0.25">
      <c r="A27" s="2" t="s">
        <v>363</v>
      </c>
      <c r="B27" s="2" t="s">
        <v>135</v>
      </c>
      <c r="C27" s="2" t="s">
        <v>126</v>
      </c>
      <c r="D27" s="2" t="s">
        <v>127</v>
      </c>
      <c r="E27" s="3" t="s">
        <v>128</v>
      </c>
      <c r="F27" s="3" t="s">
        <v>129</v>
      </c>
      <c r="G27" s="3" t="s">
        <v>77</v>
      </c>
      <c r="H27" s="4">
        <v>642</v>
      </c>
      <c r="I27" s="4">
        <v>66</v>
      </c>
      <c r="J27" s="5">
        <f t="shared" si="0"/>
        <v>0.10280373831775701</v>
      </c>
      <c r="K27" s="6">
        <v>0.10299999999999999</v>
      </c>
      <c r="L27" s="6"/>
      <c r="M27" s="6"/>
      <c r="N27" s="3" t="s">
        <v>302</v>
      </c>
      <c r="O27" s="3" t="s">
        <v>358</v>
      </c>
      <c r="P27" s="3" t="b">
        <v>1</v>
      </c>
      <c r="Q27" s="7" t="s">
        <v>56</v>
      </c>
      <c r="R27" s="3" t="s">
        <v>359</v>
      </c>
      <c r="S27" s="3" t="s">
        <v>324</v>
      </c>
      <c r="T27" s="8" t="s">
        <v>134</v>
      </c>
      <c r="U27" s="7"/>
    </row>
    <row r="28" spans="1:21" ht="60.95" customHeight="1" x14ac:dyDescent="0.25">
      <c r="A28" s="9" t="s">
        <v>364</v>
      </c>
      <c r="B28" s="9" t="s">
        <v>135</v>
      </c>
      <c r="C28" s="9" t="s">
        <v>126</v>
      </c>
      <c r="D28" s="9" t="s">
        <v>127</v>
      </c>
      <c r="E28" s="10" t="s">
        <v>128</v>
      </c>
      <c r="F28" s="10" t="s">
        <v>129</v>
      </c>
      <c r="G28" s="10" t="s">
        <v>270</v>
      </c>
      <c r="H28" s="11">
        <v>642</v>
      </c>
      <c r="I28" s="11">
        <v>0</v>
      </c>
      <c r="J28" s="12">
        <f t="shared" si="0"/>
        <v>0</v>
      </c>
      <c r="K28" s="13">
        <v>0</v>
      </c>
      <c r="L28" s="13"/>
      <c r="M28" s="13"/>
      <c r="N28" s="10" t="s">
        <v>302</v>
      </c>
      <c r="O28" s="10" t="s">
        <v>361</v>
      </c>
      <c r="P28" s="10" t="b">
        <v>0</v>
      </c>
      <c r="Q28" s="14" t="s">
        <v>56</v>
      </c>
      <c r="R28" s="10" t="s">
        <v>359</v>
      </c>
      <c r="S28" s="10" t="s">
        <v>324</v>
      </c>
      <c r="T28" s="15" t="s">
        <v>134</v>
      </c>
      <c r="U28" s="14" t="s">
        <v>362</v>
      </c>
    </row>
    <row r="29" spans="1:21" ht="60.95" customHeight="1" x14ac:dyDescent="0.25">
      <c r="A29" s="2" t="s">
        <v>365</v>
      </c>
      <c r="B29" s="2" t="s">
        <v>139</v>
      </c>
      <c r="C29" s="2" t="s">
        <v>140</v>
      </c>
      <c r="D29" s="2" t="s">
        <v>50</v>
      </c>
      <c r="E29" s="3" t="s">
        <v>141</v>
      </c>
      <c r="F29" s="3" t="s">
        <v>142</v>
      </c>
      <c r="G29" s="3" t="s">
        <v>54</v>
      </c>
      <c r="H29" s="4">
        <v>1981</v>
      </c>
      <c r="I29" s="4"/>
      <c r="J29" s="5" t="str">
        <f t="shared" si="0"/>
        <v/>
      </c>
      <c r="K29" s="6">
        <v>0.221</v>
      </c>
      <c r="L29" s="6">
        <v>0.16700000000000001</v>
      </c>
      <c r="M29" s="6">
        <v>0.28599999999999998</v>
      </c>
      <c r="N29" s="3" t="s">
        <v>366</v>
      </c>
      <c r="O29" s="3" t="s">
        <v>367</v>
      </c>
      <c r="P29" s="3" t="b">
        <v>1</v>
      </c>
      <c r="Q29" s="7" t="s">
        <v>96</v>
      </c>
      <c r="R29" s="3" t="s">
        <v>304</v>
      </c>
      <c r="S29" s="3" t="s">
        <v>368</v>
      </c>
      <c r="T29" s="8" t="s">
        <v>146</v>
      </c>
      <c r="U29" s="7" t="s">
        <v>369</v>
      </c>
    </row>
    <row r="30" spans="1:21" ht="60.95" customHeight="1" x14ac:dyDescent="0.25">
      <c r="A30" s="9" t="s">
        <v>370</v>
      </c>
      <c r="B30" s="9" t="s">
        <v>147</v>
      </c>
      <c r="C30" s="9" t="s">
        <v>148</v>
      </c>
      <c r="D30" s="9" t="s">
        <v>102</v>
      </c>
      <c r="E30" s="10" t="s">
        <v>149</v>
      </c>
      <c r="F30" s="10" t="s">
        <v>150</v>
      </c>
      <c r="G30" s="10" t="s">
        <v>54</v>
      </c>
      <c r="H30" s="11">
        <v>2070</v>
      </c>
      <c r="I30" s="11">
        <v>770</v>
      </c>
      <c r="J30" s="12">
        <f t="shared" si="0"/>
        <v>0.3719806763285024</v>
      </c>
      <c r="K30" s="13">
        <v>0.372</v>
      </c>
      <c r="L30" s="13">
        <v>0.34</v>
      </c>
      <c r="M30" s="13">
        <v>0.40400000000000003</v>
      </c>
      <c r="N30" s="10" t="s">
        <v>353</v>
      </c>
      <c r="O30" s="10" t="s">
        <v>303</v>
      </c>
      <c r="P30" s="10" t="b">
        <v>1</v>
      </c>
      <c r="Q30" s="14" t="s">
        <v>56</v>
      </c>
      <c r="R30" s="10" t="s">
        <v>304</v>
      </c>
      <c r="S30" s="10" t="s">
        <v>319</v>
      </c>
      <c r="T30" s="15" t="s">
        <v>154</v>
      </c>
      <c r="U30" s="14"/>
    </row>
    <row r="31" spans="1:21" ht="60.95" customHeight="1" x14ac:dyDescent="0.25">
      <c r="A31" s="2" t="s">
        <v>371</v>
      </c>
      <c r="B31" s="2" t="s">
        <v>147</v>
      </c>
      <c r="C31" s="2" t="s">
        <v>148</v>
      </c>
      <c r="D31" s="2" t="s">
        <v>102</v>
      </c>
      <c r="E31" s="3" t="s">
        <v>149</v>
      </c>
      <c r="F31" s="3" t="s">
        <v>150</v>
      </c>
      <c r="G31" s="3" t="s">
        <v>77</v>
      </c>
      <c r="H31" s="4">
        <v>2070</v>
      </c>
      <c r="I31" s="4"/>
      <c r="J31" s="5" t="str">
        <f t="shared" si="0"/>
        <v/>
      </c>
      <c r="K31" s="6">
        <v>0.35699999999999998</v>
      </c>
      <c r="L31" s="6">
        <v>0.32600000000000001</v>
      </c>
      <c r="M31" s="6">
        <v>0.38900000000000001</v>
      </c>
      <c r="N31" s="3" t="s">
        <v>353</v>
      </c>
      <c r="O31" s="3" t="s">
        <v>334</v>
      </c>
      <c r="P31" s="3" t="b">
        <v>0</v>
      </c>
      <c r="Q31" s="7" t="s">
        <v>96</v>
      </c>
      <c r="R31" s="3" t="s">
        <v>304</v>
      </c>
      <c r="S31" s="3" t="s">
        <v>319</v>
      </c>
      <c r="T31" s="8" t="s">
        <v>154</v>
      </c>
      <c r="U31" s="7" t="s">
        <v>372</v>
      </c>
    </row>
    <row r="32" spans="1:21" ht="60.95" customHeight="1" x14ac:dyDescent="0.25">
      <c r="A32" s="9" t="s">
        <v>373</v>
      </c>
      <c r="B32" s="9" t="s">
        <v>147</v>
      </c>
      <c r="C32" s="9" t="s">
        <v>148</v>
      </c>
      <c r="D32" s="9" t="s">
        <v>102</v>
      </c>
      <c r="E32" s="10" t="s">
        <v>149</v>
      </c>
      <c r="F32" s="10" t="s">
        <v>150</v>
      </c>
      <c r="G32" s="10" t="s">
        <v>270</v>
      </c>
      <c r="H32" s="11">
        <v>2070</v>
      </c>
      <c r="I32" s="11"/>
      <c r="J32" s="12" t="str">
        <f t="shared" si="0"/>
        <v/>
      </c>
      <c r="K32" s="13">
        <v>3.5000000000000003E-2</v>
      </c>
      <c r="L32" s="13">
        <v>2.7E-2</v>
      </c>
      <c r="M32" s="13">
        <v>4.2000000000000003E-2</v>
      </c>
      <c r="N32" s="10" t="s">
        <v>353</v>
      </c>
      <c r="O32" s="10" t="s">
        <v>374</v>
      </c>
      <c r="P32" s="10" t="b">
        <v>0</v>
      </c>
      <c r="Q32" s="14" t="s">
        <v>96</v>
      </c>
      <c r="R32" s="10" t="s">
        <v>304</v>
      </c>
      <c r="S32" s="10" t="s">
        <v>319</v>
      </c>
      <c r="T32" s="15" t="s">
        <v>154</v>
      </c>
      <c r="U32" s="14" t="s">
        <v>375</v>
      </c>
    </row>
    <row r="33" spans="1:21" ht="60.95" customHeight="1" x14ac:dyDescent="0.25">
      <c r="A33" s="2" t="s">
        <v>376</v>
      </c>
      <c r="B33" s="2" t="s">
        <v>155</v>
      </c>
      <c r="C33" s="2" t="s">
        <v>156</v>
      </c>
      <c r="D33" s="2" t="s">
        <v>157</v>
      </c>
      <c r="E33" s="3" t="s">
        <v>158</v>
      </c>
      <c r="F33" s="3" t="s">
        <v>159</v>
      </c>
      <c r="G33" s="3" t="s">
        <v>54</v>
      </c>
      <c r="H33" s="4">
        <v>1405</v>
      </c>
      <c r="I33" s="4"/>
      <c r="J33" s="5" t="str">
        <f t="shared" si="0"/>
        <v/>
      </c>
      <c r="K33" s="6">
        <v>5.3999999999999999E-2</v>
      </c>
      <c r="L33" s="6">
        <v>4.3999999999999997E-2</v>
      </c>
      <c r="M33" s="6">
        <v>6.7000000000000004E-2</v>
      </c>
      <c r="N33" s="3" t="s">
        <v>377</v>
      </c>
      <c r="O33" s="3" t="s">
        <v>378</v>
      </c>
      <c r="P33" s="3" t="b">
        <v>1</v>
      </c>
      <c r="Q33" s="7" t="s">
        <v>96</v>
      </c>
      <c r="R33" s="3" t="s">
        <v>304</v>
      </c>
      <c r="S33" s="3" t="s">
        <v>379</v>
      </c>
      <c r="T33" s="8" t="s">
        <v>163</v>
      </c>
      <c r="U33" s="7" t="s">
        <v>380</v>
      </c>
    </row>
    <row r="34" spans="1:21" ht="60.95" customHeight="1" x14ac:dyDescent="0.25">
      <c r="A34" s="9" t="s">
        <v>381</v>
      </c>
      <c r="B34" s="9" t="s">
        <v>164</v>
      </c>
      <c r="C34" s="9" t="s">
        <v>165</v>
      </c>
      <c r="D34" s="9" t="s">
        <v>166</v>
      </c>
      <c r="E34" s="10" t="s">
        <v>167</v>
      </c>
      <c r="F34" s="10" t="s">
        <v>168</v>
      </c>
      <c r="G34" s="10" t="s">
        <v>77</v>
      </c>
      <c r="H34" s="11">
        <v>442</v>
      </c>
      <c r="I34" s="11">
        <v>1</v>
      </c>
      <c r="J34" s="12">
        <f t="shared" si="0"/>
        <v>2.2624434389140274E-3</v>
      </c>
      <c r="K34" s="13">
        <v>2E-3</v>
      </c>
      <c r="L34" s="13"/>
      <c r="M34" s="13"/>
      <c r="N34" s="10" t="s">
        <v>302</v>
      </c>
      <c r="O34" s="10" t="s">
        <v>382</v>
      </c>
      <c r="P34" s="10" t="b">
        <v>1</v>
      </c>
      <c r="Q34" s="14" t="s">
        <v>56</v>
      </c>
      <c r="R34" s="10" t="s">
        <v>345</v>
      </c>
      <c r="S34" s="10" t="s">
        <v>346</v>
      </c>
      <c r="T34" s="15" t="s">
        <v>172</v>
      </c>
      <c r="U34" s="14"/>
    </row>
    <row r="35" spans="1:21" ht="60.95" customHeight="1" x14ac:dyDescent="0.25">
      <c r="A35" s="2" t="s">
        <v>383</v>
      </c>
      <c r="B35" s="2" t="s">
        <v>173</v>
      </c>
      <c r="C35" s="2" t="s">
        <v>165</v>
      </c>
      <c r="D35" s="2" t="s">
        <v>174</v>
      </c>
      <c r="E35" s="3" t="s">
        <v>175</v>
      </c>
      <c r="F35" s="3" t="s">
        <v>176</v>
      </c>
      <c r="G35" s="3" t="s">
        <v>77</v>
      </c>
      <c r="H35" s="4">
        <v>455</v>
      </c>
      <c r="I35" s="4">
        <v>0</v>
      </c>
      <c r="J35" s="5">
        <f t="shared" si="0"/>
        <v>0</v>
      </c>
      <c r="K35" s="6">
        <v>0</v>
      </c>
      <c r="L35" s="6"/>
      <c r="M35" s="6"/>
      <c r="N35" s="3" t="s">
        <v>302</v>
      </c>
      <c r="O35" s="3" t="s">
        <v>382</v>
      </c>
      <c r="P35" s="3" t="b">
        <v>1</v>
      </c>
      <c r="Q35" s="7" t="s">
        <v>56</v>
      </c>
      <c r="R35" s="3" t="s">
        <v>345</v>
      </c>
      <c r="S35" s="3" t="s">
        <v>346</v>
      </c>
      <c r="T35" s="8" t="s">
        <v>172</v>
      </c>
      <c r="U35" s="7"/>
    </row>
    <row r="36" spans="1:21" ht="60.95" customHeight="1" x14ac:dyDescent="0.25">
      <c r="A36" s="9" t="s">
        <v>384</v>
      </c>
      <c r="B36" s="9" t="s">
        <v>178</v>
      </c>
      <c r="C36" s="9" t="s">
        <v>179</v>
      </c>
      <c r="D36" s="9" t="s">
        <v>157</v>
      </c>
      <c r="E36" s="10" t="s">
        <v>180</v>
      </c>
      <c r="F36" s="10" t="s">
        <v>181</v>
      </c>
      <c r="G36" s="10" t="s">
        <v>77</v>
      </c>
      <c r="H36" s="11">
        <v>450</v>
      </c>
      <c r="I36" s="11">
        <v>4</v>
      </c>
      <c r="J36" s="12">
        <f t="shared" si="0"/>
        <v>8.8888888888888889E-3</v>
      </c>
      <c r="K36" s="13">
        <v>8.8999999999999999E-3</v>
      </c>
      <c r="L36" s="13"/>
      <c r="M36" s="13"/>
      <c r="N36" s="10" t="s">
        <v>302</v>
      </c>
      <c r="O36" s="10" t="s">
        <v>385</v>
      </c>
      <c r="P36" s="10" t="b">
        <v>1</v>
      </c>
      <c r="Q36" s="14" t="s">
        <v>56</v>
      </c>
      <c r="R36" s="10" t="s">
        <v>345</v>
      </c>
      <c r="S36" s="10" t="s">
        <v>346</v>
      </c>
      <c r="T36" s="15" t="s">
        <v>184</v>
      </c>
      <c r="U36" s="14"/>
    </row>
    <row r="37" spans="1:21" ht="60.95" customHeight="1" x14ac:dyDescent="0.25">
      <c r="A37" s="2" t="s">
        <v>386</v>
      </c>
      <c r="B37" s="2" t="s">
        <v>178</v>
      </c>
      <c r="C37" s="2" t="s">
        <v>179</v>
      </c>
      <c r="D37" s="2" t="s">
        <v>157</v>
      </c>
      <c r="E37" s="3" t="s">
        <v>180</v>
      </c>
      <c r="F37" s="3" t="s">
        <v>181</v>
      </c>
      <c r="G37" s="3" t="s">
        <v>270</v>
      </c>
      <c r="H37" s="4">
        <v>450</v>
      </c>
      <c r="I37" s="4">
        <v>5</v>
      </c>
      <c r="J37" s="5">
        <f t="shared" ref="J37:J68" si="1">IF(OR(H37="",I37="",H37=0),"",I37/H37)</f>
        <v>1.1111111111111112E-2</v>
      </c>
      <c r="K37" s="6">
        <v>1.11E-2</v>
      </c>
      <c r="L37" s="6"/>
      <c r="M37" s="6"/>
      <c r="N37" s="3" t="s">
        <v>302</v>
      </c>
      <c r="O37" s="3" t="s">
        <v>385</v>
      </c>
      <c r="P37" s="3" t="b">
        <v>0</v>
      </c>
      <c r="Q37" s="7" t="s">
        <v>56</v>
      </c>
      <c r="R37" s="3" t="s">
        <v>345</v>
      </c>
      <c r="S37" s="3" t="s">
        <v>346</v>
      </c>
      <c r="T37" s="8" t="s">
        <v>184</v>
      </c>
      <c r="U37" s="7" t="s">
        <v>387</v>
      </c>
    </row>
    <row r="38" spans="1:21" ht="60.95" customHeight="1" x14ac:dyDescent="0.25">
      <c r="A38" s="9" t="s">
        <v>388</v>
      </c>
      <c r="B38" s="9" t="s">
        <v>185</v>
      </c>
      <c r="C38" s="9" t="s">
        <v>186</v>
      </c>
      <c r="D38" s="9" t="s">
        <v>50</v>
      </c>
      <c r="E38" s="10" t="s">
        <v>187</v>
      </c>
      <c r="F38" s="10" t="s">
        <v>188</v>
      </c>
      <c r="G38" s="10" t="s">
        <v>77</v>
      </c>
      <c r="H38" s="11">
        <v>376</v>
      </c>
      <c r="I38" s="11">
        <v>23</v>
      </c>
      <c r="J38" s="12">
        <f t="shared" si="1"/>
        <v>6.1170212765957445E-2</v>
      </c>
      <c r="K38" s="13">
        <v>6.0999999999999999E-2</v>
      </c>
      <c r="L38" s="13"/>
      <c r="M38" s="13"/>
      <c r="N38" s="10" t="s">
        <v>302</v>
      </c>
      <c r="O38" s="10" t="s">
        <v>389</v>
      </c>
      <c r="P38" s="10" t="b">
        <v>1</v>
      </c>
      <c r="Q38" s="14" t="s">
        <v>56</v>
      </c>
      <c r="R38" s="10" t="s">
        <v>359</v>
      </c>
      <c r="S38" s="10" t="s">
        <v>349</v>
      </c>
      <c r="T38" s="15" t="s">
        <v>192</v>
      </c>
      <c r="U38" s="14"/>
    </row>
    <row r="39" spans="1:21" ht="60.95" customHeight="1" x14ac:dyDescent="0.25">
      <c r="A39" s="2" t="s">
        <v>390</v>
      </c>
      <c r="B39" s="2" t="s">
        <v>193</v>
      </c>
      <c r="C39" s="2" t="s">
        <v>186</v>
      </c>
      <c r="D39" s="2" t="s">
        <v>50</v>
      </c>
      <c r="E39" s="3" t="s">
        <v>194</v>
      </c>
      <c r="F39" s="3" t="s">
        <v>188</v>
      </c>
      <c r="G39" s="3" t="s">
        <v>77</v>
      </c>
      <c r="H39" s="4">
        <v>337</v>
      </c>
      <c r="I39" s="4">
        <v>16</v>
      </c>
      <c r="J39" s="5">
        <f t="shared" si="1"/>
        <v>4.7477744807121663E-2</v>
      </c>
      <c r="K39" s="6">
        <v>4.8000000000000001E-2</v>
      </c>
      <c r="L39" s="6"/>
      <c r="M39" s="6"/>
      <c r="N39" s="3" t="s">
        <v>302</v>
      </c>
      <c r="O39" s="3" t="s">
        <v>389</v>
      </c>
      <c r="P39" s="3" t="b">
        <v>1</v>
      </c>
      <c r="Q39" s="7" t="s">
        <v>56</v>
      </c>
      <c r="R39" s="3" t="s">
        <v>359</v>
      </c>
      <c r="S39" s="3" t="s">
        <v>349</v>
      </c>
      <c r="T39" s="8" t="s">
        <v>192</v>
      </c>
      <c r="U39" s="7"/>
    </row>
    <row r="40" spans="1:21" ht="60.95" customHeight="1" x14ac:dyDescent="0.25">
      <c r="A40" s="9" t="s">
        <v>391</v>
      </c>
      <c r="B40" s="9" t="s">
        <v>195</v>
      </c>
      <c r="C40" s="9" t="s">
        <v>186</v>
      </c>
      <c r="D40" s="9" t="s">
        <v>50</v>
      </c>
      <c r="E40" s="10" t="s">
        <v>196</v>
      </c>
      <c r="F40" s="10" t="s">
        <v>188</v>
      </c>
      <c r="G40" s="10" t="s">
        <v>77</v>
      </c>
      <c r="H40" s="11">
        <v>305</v>
      </c>
      <c r="I40" s="11">
        <v>69</v>
      </c>
      <c r="J40" s="12">
        <f t="shared" si="1"/>
        <v>0.2262295081967213</v>
      </c>
      <c r="K40" s="13">
        <v>0.22600000000000001</v>
      </c>
      <c r="L40" s="13"/>
      <c r="M40" s="13"/>
      <c r="N40" s="10" t="s">
        <v>302</v>
      </c>
      <c r="O40" s="10" t="s">
        <v>389</v>
      </c>
      <c r="P40" s="10" t="b">
        <v>1</v>
      </c>
      <c r="Q40" s="14" t="s">
        <v>56</v>
      </c>
      <c r="R40" s="10" t="s">
        <v>359</v>
      </c>
      <c r="S40" s="10" t="s">
        <v>349</v>
      </c>
      <c r="T40" s="15" t="s">
        <v>192</v>
      </c>
      <c r="U40" s="14"/>
    </row>
    <row r="41" spans="1:21" ht="60.95" customHeight="1" x14ac:dyDescent="0.25">
      <c r="A41" s="2" t="s">
        <v>392</v>
      </c>
      <c r="B41" s="2" t="s">
        <v>197</v>
      </c>
      <c r="C41" s="2" t="s">
        <v>186</v>
      </c>
      <c r="D41" s="2" t="s">
        <v>50</v>
      </c>
      <c r="E41" s="3" t="s">
        <v>198</v>
      </c>
      <c r="F41" s="3" t="s">
        <v>188</v>
      </c>
      <c r="G41" s="3" t="s">
        <v>77</v>
      </c>
      <c r="H41" s="4">
        <v>298</v>
      </c>
      <c r="I41" s="4">
        <v>13</v>
      </c>
      <c r="J41" s="5">
        <f t="shared" si="1"/>
        <v>4.3624161073825503E-2</v>
      </c>
      <c r="K41" s="6">
        <v>4.2999999999999997E-2</v>
      </c>
      <c r="L41" s="6"/>
      <c r="M41" s="6"/>
      <c r="N41" s="3" t="s">
        <v>302</v>
      </c>
      <c r="O41" s="3" t="s">
        <v>389</v>
      </c>
      <c r="P41" s="3" t="b">
        <v>1</v>
      </c>
      <c r="Q41" s="7" t="s">
        <v>56</v>
      </c>
      <c r="R41" s="3" t="s">
        <v>359</v>
      </c>
      <c r="S41" s="3" t="s">
        <v>349</v>
      </c>
      <c r="T41" s="8" t="s">
        <v>192</v>
      </c>
      <c r="U41" s="7"/>
    </row>
    <row r="42" spans="1:21" ht="60.95" customHeight="1" x14ac:dyDescent="0.25">
      <c r="A42" s="9" t="s">
        <v>393</v>
      </c>
      <c r="B42" s="9" t="s">
        <v>199</v>
      </c>
      <c r="C42" s="9" t="s">
        <v>186</v>
      </c>
      <c r="D42" s="9" t="s">
        <v>50</v>
      </c>
      <c r="E42" s="10" t="s">
        <v>200</v>
      </c>
      <c r="F42" s="10" t="s">
        <v>188</v>
      </c>
      <c r="G42" s="10" t="s">
        <v>77</v>
      </c>
      <c r="H42" s="11">
        <v>1316</v>
      </c>
      <c r="I42" s="11">
        <v>121</v>
      </c>
      <c r="J42" s="12">
        <f t="shared" si="1"/>
        <v>9.1945288753799398E-2</v>
      </c>
      <c r="K42" s="13">
        <v>9.1999999999999998E-2</v>
      </c>
      <c r="L42" s="13"/>
      <c r="M42" s="13"/>
      <c r="N42" s="10" t="s">
        <v>302</v>
      </c>
      <c r="O42" s="10" t="s">
        <v>389</v>
      </c>
      <c r="P42" s="10" t="b">
        <v>1</v>
      </c>
      <c r="Q42" s="14" t="s">
        <v>56</v>
      </c>
      <c r="R42" s="10" t="s">
        <v>359</v>
      </c>
      <c r="S42" s="10" t="s">
        <v>349</v>
      </c>
      <c r="T42" s="15" t="s">
        <v>192</v>
      </c>
      <c r="U42" s="14"/>
    </row>
    <row r="43" spans="1:21" ht="60.95" customHeight="1" x14ac:dyDescent="0.25">
      <c r="A43" s="2" t="s">
        <v>394</v>
      </c>
      <c r="B43" s="2" t="s">
        <v>202</v>
      </c>
      <c r="C43" s="2" t="s">
        <v>203</v>
      </c>
      <c r="D43" s="2" t="s">
        <v>50</v>
      </c>
      <c r="E43" s="3" t="s">
        <v>204</v>
      </c>
      <c r="F43" s="3" t="s">
        <v>205</v>
      </c>
      <c r="G43" s="3" t="s">
        <v>207</v>
      </c>
      <c r="H43" s="4">
        <v>348</v>
      </c>
      <c r="I43" s="4">
        <v>23</v>
      </c>
      <c r="J43" s="5">
        <f t="shared" si="1"/>
        <v>6.6091954022988508E-2</v>
      </c>
      <c r="K43" s="6">
        <v>7.0000000000000007E-2</v>
      </c>
      <c r="L43" s="6"/>
      <c r="M43" s="6"/>
      <c r="N43" s="3" t="s">
        <v>302</v>
      </c>
      <c r="O43" s="3" t="s">
        <v>395</v>
      </c>
      <c r="P43" s="3" t="b">
        <v>1</v>
      </c>
      <c r="Q43" s="7" t="s">
        <v>56</v>
      </c>
      <c r="R43" s="3" t="s">
        <v>359</v>
      </c>
      <c r="S43" s="3" t="s">
        <v>319</v>
      </c>
      <c r="T43" s="8" t="s">
        <v>210</v>
      </c>
      <c r="U43" s="7" t="s">
        <v>396</v>
      </c>
    </row>
    <row r="44" spans="1:21" ht="60.95" customHeight="1" x14ac:dyDescent="0.25">
      <c r="A44" s="9" t="s">
        <v>397</v>
      </c>
      <c r="B44" s="9" t="s">
        <v>211</v>
      </c>
      <c r="C44" s="9" t="s">
        <v>212</v>
      </c>
      <c r="D44" s="9" t="s">
        <v>83</v>
      </c>
      <c r="E44" s="10" t="s">
        <v>213</v>
      </c>
      <c r="F44" s="10" t="s">
        <v>214</v>
      </c>
      <c r="G44" s="10" t="s">
        <v>216</v>
      </c>
      <c r="H44" s="11">
        <v>559</v>
      </c>
      <c r="I44" s="11">
        <v>190</v>
      </c>
      <c r="J44" s="12">
        <f t="shared" si="1"/>
        <v>0.33989266547406083</v>
      </c>
      <c r="K44" s="13">
        <v>0.34</v>
      </c>
      <c r="L44" s="13">
        <v>0.30199999999999999</v>
      </c>
      <c r="M44" s="13">
        <v>0.38</v>
      </c>
      <c r="N44" s="10" t="s">
        <v>302</v>
      </c>
      <c r="O44" s="10" t="s">
        <v>398</v>
      </c>
      <c r="P44" s="10" t="b">
        <v>1</v>
      </c>
      <c r="Q44" s="14" t="s">
        <v>56</v>
      </c>
      <c r="R44" s="10" t="s">
        <v>345</v>
      </c>
      <c r="S44" s="10" t="s">
        <v>346</v>
      </c>
      <c r="T44" s="15" t="s">
        <v>219</v>
      </c>
      <c r="U44" s="14" t="s">
        <v>399</v>
      </c>
    </row>
    <row r="45" spans="1:21" ht="60.95" customHeight="1" x14ac:dyDescent="0.25">
      <c r="A45" s="2" t="s">
        <v>400</v>
      </c>
      <c r="B45" s="2" t="s">
        <v>220</v>
      </c>
      <c r="C45" s="2" t="s">
        <v>212</v>
      </c>
      <c r="D45" s="2" t="s">
        <v>83</v>
      </c>
      <c r="E45" s="3" t="s">
        <v>213</v>
      </c>
      <c r="F45" s="3" t="s">
        <v>221</v>
      </c>
      <c r="G45" s="3" t="s">
        <v>216</v>
      </c>
      <c r="H45" s="4">
        <v>559</v>
      </c>
      <c r="I45" s="4">
        <v>175</v>
      </c>
      <c r="J45" s="5">
        <f t="shared" si="1"/>
        <v>0.31305903398926654</v>
      </c>
      <c r="K45" s="6">
        <v>0.313</v>
      </c>
      <c r="L45" s="6">
        <v>0.27600000000000002</v>
      </c>
      <c r="M45" s="6">
        <v>0.35299999999999998</v>
      </c>
      <c r="N45" s="3" t="s">
        <v>302</v>
      </c>
      <c r="O45" s="3" t="s">
        <v>398</v>
      </c>
      <c r="P45" s="3" t="b">
        <v>1</v>
      </c>
      <c r="Q45" s="7" t="s">
        <v>56</v>
      </c>
      <c r="R45" s="3" t="s">
        <v>345</v>
      </c>
      <c r="S45" s="3" t="s">
        <v>346</v>
      </c>
      <c r="T45" s="8" t="s">
        <v>219</v>
      </c>
      <c r="U45" s="7" t="s">
        <v>399</v>
      </c>
    </row>
    <row r="46" spans="1:21" ht="60.95" customHeight="1" x14ac:dyDescent="0.25">
      <c r="A46" s="9" t="s">
        <v>401</v>
      </c>
      <c r="B46" s="9" t="s">
        <v>222</v>
      </c>
      <c r="C46" s="9" t="s">
        <v>223</v>
      </c>
      <c r="D46" s="9" t="s">
        <v>224</v>
      </c>
      <c r="E46" s="10" t="s">
        <v>225</v>
      </c>
      <c r="F46" s="10" t="s">
        <v>226</v>
      </c>
      <c r="G46" s="10" t="s">
        <v>228</v>
      </c>
      <c r="H46" s="11">
        <v>135</v>
      </c>
      <c r="I46" s="11">
        <v>1</v>
      </c>
      <c r="J46" s="12">
        <f t="shared" si="1"/>
        <v>7.4074074074074077E-3</v>
      </c>
      <c r="K46" s="13">
        <v>7.0000000000000001E-3</v>
      </c>
      <c r="L46" s="13"/>
      <c r="M46" s="13"/>
      <c r="N46" s="10" t="s">
        <v>302</v>
      </c>
      <c r="O46" s="10" t="s">
        <v>402</v>
      </c>
      <c r="P46" s="10" t="b">
        <v>1</v>
      </c>
      <c r="Q46" s="14" t="s">
        <v>56</v>
      </c>
      <c r="R46" s="10" t="s">
        <v>345</v>
      </c>
      <c r="S46" s="10" t="s">
        <v>346</v>
      </c>
      <c r="T46" s="15" t="s">
        <v>232</v>
      </c>
      <c r="U46" s="14" t="s">
        <v>403</v>
      </c>
    </row>
    <row r="47" spans="1:21" ht="60.95" customHeight="1" x14ac:dyDescent="0.25">
      <c r="A47" s="2" t="s">
        <v>404</v>
      </c>
      <c r="B47" s="2" t="s">
        <v>233</v>
      </c>
      <c r="C47" s="2" t="s">
        <v>234</v>
      </c>
      <c r="D47" s="2" t="s">
        <v>50</v>
      </c>
      <c r="E47" s="3" t="s">
        <v>235</v>
      </c>
      <c r="F47" s="3" t="s">
        <v>236</v>
      </c>
      <c r="G47" s="3" t="s">
        <v>77</v>
      </c>
      <c r="H47" s="4">
        <v>302</v>
      </c>
      <c r="I47" s="4"/>
      <c r="J47" s="5" t="str">
        <f t="shared" si="1"/>
        <v/>
      </c>
      <c r="K47" s="6">
        <v>7.5999999999999998E-2</v>
      </c>
      <c r="L47" s="6"/>
      <c r="M47" s="6"/>
      <c r="N47" s="3" t="s">
        <v>302</v>
      </c>
      <c r="O47" s="3" t="s">
        <v>405</v>
      </c>
      <c r="P47" s="3" t="b">
        <v>1</v>
      </c>
      <c r="Q47" s="7" t="s">
        <v>96</v>
      </c>
      <c r="R47" s="3" t="s">
        <v>345</v>
      </c>
      <c r="S47" s="3" t="s">
        <v>346</v>
      </c>
      <c r="T47" s="8" t="s">
        <v>241</v>
      </c>
      <c r="U47" s="7" t="s">
        <v>406</v>
      </c>
    </row>
    <row r="48" spans="1:21" ht="60.95" customHeight="1" x14ac:dyDescent="0.25">
      <c r="A48" s="9" t="s">
        <v>407</v>
      </c>
      <c r="B48" s="9" t="s">
        <v>242</v>
      </c>
      <c r="C48" s="9" t="s">
        <v>243</v>
      </c>
      <c r="D48" s="9" t="s">
        <v>174</v>
      </c>
      <c r="E48" s="10" t="s">
        <v>244</v>
      </c>
      <c r="F48" s="10" t="s">
        <v>245</v>
      </c>
      <c r="G48" s="10" t="s">
        <v>247</v>
      </c>
      <c r="H48" s="11">
        <v>526</v>
      </c>
      <c r="I48" s="11">
        <v>7</v>
      </c>
      <c r="J48" s="12">
        <f t="shared" si="1"/>
        <v>1.3307984790874524E-2</v>
      </c>
      <c r="K48" s="13">
        <v>1.3299999999999999E-2</v>
      </c>
      <c r="L48" s="13"/>
      <c r="M48" s="13"/>
      <c r="N48" s="10" t="s">
        <v>302</v>
      </c>
      <c r="O48" s="10" t="s">
        <v>408</v>
      </c>
      <c r="P48" s="10" t="b">
        <v>1</v>
      </c>
      <c r="Q48" s="14" t="s">
        <v>56</v>
      </c>
      <c r="R48" s="10" t="s">
        <v>345</v>
      </c>
      <c r="S48" s="10" t="s">
        <v>346</v>
      </c>
      <c r="T48" s="15" t="s">
        <v>250</v>
      </c>
      <c r="U48" s="14"/>
    </row>
    <row r="49" spans="1:21" ht="60.95" customHeight="1" x14ac:dyDescent="0.25">
      <c r="A49" s="2" t="s">
        <v>409</v>
      </c>
      <c r="B49" s="2" t="s">
        <v>242</v>
      </c>
      <c r="C49" s="2" t="s">
        <v>243</v>
      </c>
      <c r="D49" s="2" t="s">
        <v>174</v>
      </c>
      <c r="E49" s="3" t="s">
        <v>244</v>
      </c>
      <c r="F49" s="3" t="s">
        <v>245</v>
      </c>
      <c r="G49" s="3" t="s">
        <v>410</v>
      </c>
      <c r="H49" s="4">
        <v>526</v>
      </c>
      <c r="I49" s="4">
        <v>2</v>
      </c>
      <c r="J49" s="5">
        <f t="shared" si="1"/>
        <v>3.8022813688212928E-3</v>
      </c>
      <c r="K49" s="6">
        <v>3.8E-3</v>
      </c>
      <c r="L49" s="6"/>
      <c r="M49" s="6"/>
      <c r="N49" s="3" t="s">
        <v>302</v>
      </c>
      <c r="O49" s="3" t="s">
        <v>411</v>
      </c>
      <c r="P49" s="3" t="b">
        <v>0</v>
      </c>
      <c r="Q49" s="7" t="s">
        <v>56</v>
      </c>
      <c r="R49" s="3" t="s">
        <v>345</v>
      </c>
      <c r="S49" s="3" t="s">
        <v>346</v>
      </c>
      <c r="T49" s="8" t="s">
        <v>250</v>
      </c>
      <c r="U49" s="7" t="s">
        <v>412</v>
      </c>
    </row>
    <row r="50" spans="1:21" ht="60.95" customHeight="1" x14ac:dyDescent="0.25">
      <c r="A50" s="9" t="s">
        <v>413</v>
      </c>
      <c r="B50" s="9" t="s">
        <v>251</v>
      </c>
      <c r="C50" s="9" t="s">
        <v>252</v>
      </c>
      <c r="D50" s="9" t="s">
        <v>174</v>
      </c>
      <c r="E50" s="10" t="s">
        <v>253</v>
      </c>
      <c r="F50" s="10" t="s">
        <v>254</v>
      </c>
      <c r="G50" s="10" t="s">
        <v>77</v>
      </c>
      <c r="H50" s="11">
        <v>341</v>
      </c>
      <c r="I50" s="11">
        <v>1</v>
      </c>
      <c r="J50" s="12">
        <f t="shared" si="1"/>
        <v>2.9325513196480938E-3</v>
      </c>
      <c r="K50" s="13">
        <v>2E-3</v>
      </c>
      <c r="L50" s="13">
        <v>0</v>
      </c>
      <c r="M50" s="13">
        <v>1.6E-2</v>
      </c>
      <c r="N50" s="10" t="s">
        <v>302</v>
      </c>
      <c r="O50" s="10" t="s">
        <v>414</v>
      </c>
      <c r="P50" s="10" t="b">
        <v>1</v>
      </c>
      <c r="Q50" s="14" t="s">
        <v>56</v>
      </c>
      <c r="R50" s="10" t="s">
        <v>304</v>
      </c>
      <c r="S50" s="10" t="s">
        <v>319</v>
      </c>
      <c r="T50" s="15" t="s">
        <v>259</v>
      </c>
      <c r="U50" s="14" t="s">
        <v>415</v>
      </c>
    </row>
    <row r="51" spans="1:21" ht="60.95" customHeight="1" x14ac:dyDescent="0.25">
      <c r="A51" s="2" t="s">
        <v>416</v>
      </c>
      <c r="B51" s="2" t="s">
        <v>260</v>
      </c>
      <c r="C51" s="2" t="s">
        <v>252</v>
      </c>
      <c r="D51" s="2" t="s">
        <v>174</v>
      </c>
      <c r="E51" s="3" t="s">
        <v>253</v>
      </c>
      <c r="F51" s="3" t="s">
        <v>261</v>
      </c>
      <c r="G51" s="3" t="s">
        <v>77</v>
      </c>
      <c r="H51" s="4">
        <v>341</v>
      </c>
      <c r="I51" s="4">
        <v>3</v>
      </c>
      <c r="J51" s="5">
        <f t="shared" si="1"/>
        <v>8.7976539589442824E-3</v>
      </c>
      <c r="K51" s="6">
        <v>8.0000000000000002E-3</v>
      </c>
      <c r="L51" s="6">
        <v>3.0000000000000001E-3</v>
      </c>
      <c r="M51" s="6">
        <v>2.5999999999999999E-2</v>
      </c>
      <c r="N51" s="3" t="s">
        <v>302</v>
      </c>
      <c r="O51" s="3" t="s">
        <v>414</v>
      </c>
      <c r="P51" s="3" t="b">
        <v>1</v>
      </c>
      <c r="Q51" s="7" t="s">
        <v>56</v>
      </c>
      <c r="R51" s="3" t="s">
        <v>304</v>
      </c>
      <c r="S51" s="3" t="s">
        <v>319</v>
      </c>
      <c r="T51" s="8" t="s">
        <v>259</v>
      </c>
      <c r="U51" s="7" t="s">
        <v>415</v>
      </c>
    </row>
    <row r="52" spans="1:21" ht="60.95" customHeight="1" x14ac:dyDescent="0.25">
      <c r="A52" s="9" t="s">
        <v>417</v>
      </c>
      <c r="B52" s="9" t="s">
        <v>262</v>
      </c>
      <c r="C52" s="9" t="s">
        <v>252</v>
      </c>
      <c r="D52" s="9" t="s">
        <v>174</v>
      </c>
      <c r="E52" s="10" t="s">
        <v>253</v>
      </c>
      <c r="F52" s="10" t="s">
        <v>263</v>
      </c>
      <c r="G52" s="10" t="s">
        <v>77</v>
      </c>
      <c r="H52" s="11">
        <v>341</v>
      </c>
      <c r="I52" s="11">
        <v>4</v>
      </c>
      <c r="J52" s="12">
        <f t="shared" si="1"/>
        <v>1.1730205278592375E-2</v>
      </c>
      <c r="K52" s="13">
        <v>1.17E-2</v>
      </c>
      <c r="L52" s="13">
        <v>4.0000000000000001E-3</v>
      </c>
      <c r="M52" s="13">
        <v>0.03</v>
      </c>
      <c r="N52" s="10" t="s">
        <v>302</v>
      </c>
      <c r="O52" s="10" t="s">
        <v>414</v>
      </c>
      <c r="P52" s="10" t="b">
        <v>1</v>
      </c>
      <c r="Q52" s="14" t="s">
        <v>56</v>
      </c>
      <c r="R52" s="10" t="s">
        <v>304</v>
      </c>
      <c r="S52" s="10" t="s">
        <v>319</v>
      </c>
      <c r="T52" s="15" t="s">
        <v>259</v>
      </c>
      <c r="U52" s="14" t="s">
        <v>415</v>
      </c>
    </row>
    <row r="53" spans="1:21" ht="60.95" customHeight="1" x14ac:dyDescent="0.25">
      <c r="A53" s="2" t="s">
        <v>418</v>
      </c>
      <c r="B53" s="2" t="s">
        <v>264</v>
      </c>
      <c r="C53" s="2" t="s">
        <v>252</v>
      </c>
      <c r="D53" s="2" t="s">
        <v>174</v>
      </c>
      <c r="E53" s="3" t="s">
        <v>253</v>
      </c>
      <c r="F53" s="3" t="s">
        <v>265</v>
      </c>
      <c r="G53" s="3" t="s">
        <v>77</v>
      </c>
      <c r="H53" s="4">
        <v>341</v>
      </c>
      <c r="I53" s="4">
        <v>8</v>
      </c>
      <c r="J53" s="5">
        <f t="shared" si="1"/>
        <v>2.3460410557184751E-2</v>
      </c>
      <c r="K53" s="6">
        <v>2.3400000000000001E-2</v>
      </c>
      <c r="L53" s="6">
        <v>1.0999999999999999E-2</v>
      </c>
      <c r="M53" s="6">
        <v>4.5999999999999999E-2</v>
      </c>
      <c r="N53" s="3" t="s">
        <v>302</v>
      </c>
      <c r="O53" s="3" t="s">
        <v>414</v>
      </c>
      <c r="P53" s="3" t="b">
        <v>1</v>
      </c>
      <c r="Q53" s="7" t="s">
        <v>56</v>
      </c>
      <c r="R53" s="3" t="s">
        <v>304</v>
      </c>
      <c r="S53" s="3" t="s">
        <v>319</v>
      </c>
      <c r="T53" s="8" t="s">
        <v>259</v>
      </c>
      <c r="U53" s="7" t="s">
        <v>415</v>
      </c>
    </row>
    <row r="54" spans="1:21" ht="60.95" customHeight="1" x14ac:dyDescent="0.25">
      <c r="A54" s="9" t="s">
        <v>419</v>
      </c>
      <c r="B54" s="9" t="s">
        <v>266</v>
      </c>
      <c r="C54" s="9" t="s">
        <v>252</v>
      </c>
      <c r="D54" s="9" t="s">
        <v>174</v>
      </c>
      <c r="E54" s="10" t="s">
        <v>267</v>
      </c>
      <c r="F54" s="10" t="s">
        <v>268</v>
      </c>
      <c r="G54" s="10" t="s">
        <v>270</v>
      </c>
      <c r="H54" s="11">
        <v>497</v>
      </c>
      <c r="I54" s="11">
        <v>22</v>
      </c>
      <c r="J54" s="12">
        <f t="shared" si="1"/>
        <v>4.4265593561368208E-2</v>
      </c>
      <c r="K54" s="13">
        <v>4.4200000000000003E-2</v>
      </c>
      <c r="L54" s="13"/>
      <c r="M54" s="13"/>
      <c r="N54" s="10" t="s">
        <v>302</v>
      </c>
      <c r="O54" s="10" t="s">
        <v>420</v>
      </c>
      <c r="P54" s="10" t="b">
        <v>1</v>
      </c>
      <c r="Q54" s="14" t="s">
        <v>56</v>
      </c>
      <c r="R54" s="10" t="s">
        <v>304</v>
      </c>
      <c r="S54" s="10" t="s">
        <v>319</v>
      </c>
      <c r="T54" s="15" t="s">
        <v>259</v>
      </c>
      <c r="U54" s="14" t="s">
        <v>421</v>
      </c>
    </row>
    <row r="55" spans="1:21" ht="60.95" customHeight="1" x14ac:dyDescent="0.25">
      <c r="A55" s="2" t="s">
        <v>422</v>
      </c>
      <c r="B55" s="2" t="s">
        <v>266</v>
      </c>
      <c r="C55" s="2" t="s">
        <v>252</v>
      </c>
      <c r="D55" s="2" t="s">
        <v>174</v>
      </c>
      <c r="E55" s="3" t="s">
        <v>267</v>
      </c>
      <c r="F55" s="3" t="s">
        <v>268</v>
      </c>
      <c r="G55" s="3" t="s">
        <v>77</v>
      </c>
      <c r="H55" s="4">
        <v>497</v>
      </c>
      <c r="I55" s="4"/>
      <c r="J55" s="5" t="str">
        <f t="shared" si="1"/>
        <v/>
      </c>
      <c r="K55" s="6">
        <v>8.5999999999999993E-2</v>
      </c>
      <c r="L55" s="6"/>
      <c r="M55" s="6"/>
      <c r="N55" s="3" t="s">
        <v>302</v>
      </c>
      <c r="O55" s="3" t="s">
        <v>423</v>
      </c>
      <c r="P55" s="3" t="b">
        <v>0</v>
      </c>
      <c r="Q55" s="7" t="s">
        <v>96</v>
      </c>
      <c r="R55" s="3" t="s">
        <v>304</v>
      </c>
      <c r="S55" s="3" t="s">
        <v>319</v>
      </c>
      <c r="T55" s="8" t="s">
        <v>259</v>
      </c>
      <c r="U55" s="7" t="s">
        <v>424</v>
      </c>
    </row>
    <row r="56" spans="1:21" ht="60.95" customHeight="1" x14ac:dyDescent="0.25">
      <c r="A56" s="9" t="s">
        <v>425</v>
      </c>
      <c r="B56" s="9" t="s">
        <v>273</v>
      </c>
      <c r="C56" s="9" t="s">
        <v>274</v>
      </c>
      <c r="D56" s="9" t="s">
        <v>118</v>
      </c>
      <c r="E56" s="10" t="s">
        <v>275</v>
      </c>
      <c r="F56" s="10" t="s">
        <v>276</v>
      </c>
      <c r="G56" s="10" t="s">
        <v>278</v>
      </c>
      <c r="H56" s="11">
        <v>778</v>
      </c>
      <c r="I56" s="11"/>
      <c r="J56" s="12" t="str">
        <f t="shared" si="1"/>
        <v/>
      </c>
      <c r="K56" s="13">
        <v>0.21299999999999999</v>
      </c>
      <c r="L56" s="13"/>
      <c r="M56" s="13"/>
      <c r="N56" s="10" t="s">
        <v>302</v>
      </c>
      <c r="O56" s="10" t="s">
        <v>426</v>
      </c>
      <c r="P56" s="10" t="b">
        <v>1</v>
      </c>
      <c r="Q56" s="14" t="s">
        <v>96</v>
      </c>
      <c r="R56" s="10" t="s">
        <v>345</v>
      </c>
      <c r="S56" s="10" t="s">
        <v>346</v>
      </c>
      <c r="T56" s="15" t="s">
        <v>282</v>
      </c>
      <c r="U56" s="14" t="s">
        <v>427</v>
      </c>
    </row>
    <row r="57" spans="1:21" ht="60.95" customHeight="1" x14ac:dyDescent="0.25">
      <c r="A57" s="2" t="s">
        <v>428</v>
      </c>
      <c r="B57" s="2" t="s">
        <v>273</v>
      </c>
      <c r="C57" s="2" t="s">
        <v>274</v>
      </c>
      <c r="D57" s="2" t="s">
        <v>118</v>
      </c>
      <c r="E57" s="3" t="s">
        <v>275</v>
      </c>
      <c r="F57" s="3" t="s">
        <v>276</v>
      </c>
      <c r="G57" s="3" t="s">
        <v>270</v>
      </c>
      <c r="H57" s="4">
        <v>778</v>
      </c>
      <c r="I57" s="4"/>
      <c r="J57" s="5" t="str">
        <f t="shared" si="1"/>
        <v/>
      </c>
      <c r="K57" s="6">
        <v>4.7E-2</v>
      </c>
      <c r="L57" s="6"/>
      <c r="M57" s="6"/>
      <c r="N57" s="3" t="s">
        <v>302</v>
      </c>
      <c r="O57" s="3" t="s">
        <v>429</v>
      </c>
      <c r="P57" s="3" t="b">
        <v>0</v>
      </c>
      <c r="Q57" s="7" t="s">
        <v>96</v>
      </c>
      <c r="R57" s="3" t="s">
        <v>345</v>
      </c>
      <c r="S57" s="3" t="s">
        <v>346</v>
      </c>
      <c r="T57" s="8" t="s">
        <v>282</v>
      </c>
      <c r="U57" s="7" t="s">
        <v>430</v>
      </c>
    </row>
    <row r="58" spans="1:21" ht="60.95" customHeight="1" x14ac:dyDescent="0.25">
      <c r="A58" s="9" t="s">
        <v>431</v>
      </c>
      <c r="B58" s="9" t="s">
        <v>283</v>
      </c>
      <c r="C58" s="9" t="s">
        <v>284</v>
      </c>
      <c r="D58" s="9" t="s">
        <v>50</v>
      </c>
      <c r="E58" s="10" t="s">
        <v>285</v>
      </c>
      <c r="F58" s="10" t="s">
        <v>286</v>
      </c>
      <c r="G58" s="10" t="s">
        <v>288</v>
      </c>
      <c r="H58" s="11">
        <v>300</v>
      </c>
      <c r="I58" s="11">
        <v>17</v>
      </c>
      <c r="J58" s="12">
        <f t="shared" si="1"/>
        <v>5.6666666666666664E-2</v>
      </c>
      <c r="K58" s="13">
        <v>5.7000000000000002E-2</v>
      </c>
      <c r="L58" s="13"/>
      <c r="M58" s="13"/>
      <c r="N58" s="10" t="s">
        <v>302</v>
      </c>
      <c r="O58" s="10" t="s">
        <v>432</v>
      </c>
      <c r="P58" s="10" t="b">
        <v>1</v>
      </c>
      <c r="Q58" s="14" t="s">
        <v>56</v>
      </c>
      <c r="R58" s="10" t="s">
        <v>359</v>
      </c>
      <c r="S58" s="10" t="s">
        <v>433</v>
      </c>
      <c r="T58" s="15" t="s">
        <v>291</v>
      </c>
      <c r="U58" s="14"/>
    </row>
    <row r="59" spans="1:21" ht="60.95" customHeight="1" x14ac:dyDescent="0.25">
      <c r="A59" s="2" t="s">
        <v>434</v>
      </c>
      <c r="B59" s="2" t="s">
        <v>283</v>
      </c>
      <c r="C59" s="2" t="s">
        <v>284</v>
      </c>
      <c r="D59" s="2" t="s">
        <v>50</v>
      </c>
      <c r="E59" s="3" t="s">
        <v>285</v>
      </c>
      <c r="F59" s="3" t="s">
        <v>286</v>
      </c>
      <c r="G59" s="3" t="s">
        <v>435</v>
      </c>
      <c r="H59" s="4">
        <v>300</v>
      </c>
      <c r="I59" s="4"/>
      <c r="J59" s="5" t="str">
        <f t="shared" si="1"/>
        <v/>
      </c>
      <c r="K59" s="6">
        <v>6.7000000000000004E-2</v>
      </c>
      <c r="L59" s="6"/>
      <c r="M59" s="6"/>
      <c r="N59" s="3" t="s">
        <v>302</v>
      </c>
      <c r="O59" s="3" t="s">
        <v>334</v>
      </c>
      <c r="P59" s="3" t="b">
        <v>0</v>
      </c>
      <c r="Q59" s="7" t="s">
        <v>96</v>
      </c>
      <c r="R59" s="3" t="s">
        <v>359</v>
      </c>
      <c r="S59" s="3" t="s">
        <v>436</v>
      </c>
      <c r="T59" s="8" t="s">
        <v>291</v>
      </c>
      <c r="U59" s="7" t="s">
        <v>437</v>
      </c>
    </row>
    <row r="60" spans="1:21" ht="60.95" customHeight="1" x14ac:dyDescent="0.25">
      <c r="A60" s="9" t="s">
        <v>438</v>
      </c>
      <c r="B60" s="9" t="s">
        <v>283</v>
      </c>
      <c r="C60" s="9" t="s">
        <v>284</v>
      </c>
      <c r="D60" s="9" t="s">
        <v>50</v>
      </c>
      <c r="E60" s="10" t="s">
        <v>285</v>
      </c>
      <c r="F60" s="10" t="s">
        <v>286</v>
      </c>
      <c r="G60" s="10" t="s">
        <v>439</v>
      </c>
      <c r="H60" s="11">
        <v>16</v>
      </c>
      <c r="I60" s="11">
        <v>16</v>
      </c>
      <c r="J60" s="12">
        <f t="shared" si="1"/>
        <v>1</v>
      </c>
      <c r="K60" s="13">
        <v>1</v>
      </c>
      <c r="L60" s="13"/>
      <c r="M60" s="13"/>
      <c r="N60" s="10" t="s">
        <v>302</v>
      </c>
      <c r="O60" s="10" t="s">
        <v>440</v>
      </c>
      <c r="P60" s="10" t="b">
        <v>0</v>
      </c>
      <c r="Q60" s="14" t="s">
        <v>56</v>
      </c>
      <c r="R60" s="10" t="s">
        <v>359</v>
      </c>
      <c r="S60" s="10" t="s">
        <v>319</v>
      </c>
      <c r="T60" s="15" t="s">
        <v>291</v>
      </c>
      <c r="U60" s="14" t="s">
        <v>441</v>
      </c>
    </row>
  </sheetData>
  <autoFilter ref="A4:U60" xr:uid="{00000000-0009-0000-0000-000002000000}"/>
  <mergeCells count="2">
    <mergeCell ref="A2:H2"/>
    <mergeCell ref="A1:H1"/>
  </mergeCells>
  <hyperlinks>
    <hyperlink ref="T5" r:id="rId1" xr:uid="{00000000-0004-0000-0200-000000000000}"/>
    <hyperlink ref="T6" r:id="rId2" xr:uid="{00000000-0004-0000-0200-000001000000}"/>
    <hyperlink ref="T7" r:id="rId3" xr:uid="{00000000-0004-0000-0200-000002000000}"/>
    <hyperlink ref="T8" r:id="rId4" xr:uid="{00000000-0004-0000-0200-000003000000}"/>
    <hyperlink ref="T9" r:id="rId5" xr:uid="{00000000-0004-0000-0200-000004000000}"/>
    <hyperlink ref="T10" r:id="rId6" xr:uid="{00000000-0004-0000-0200-000005000000}"/>
    <hyperlink ref="T11" r:id="rId7" xr:uid="{00000000-0004-0000-0200-000006000000}"/>
    <hyperlink ref="T12" r:id="rId8" xr:uid="{00000000-0004-0000-0200-000007000000}"/>
    <hyperlink ref="T13" r:id="rId9" xr:uid="{00000000-0004-0000-0200-000008000000}"/>
    <hyperlink ref="T14" r:id="rId10" xr:uid="{00000000-0004-0000-0200-000009000000}"/>
    <hyperlink ref="T15" r:id="rId11" xr:uid="{00000000-0004-0000-0200-00000A000000}"/>
    <hyperlink ref="T16" r:id="rId12" xr:uid="{00000000-0004-0000-0200-00000B000000}"/>
    <hyperlink ref="T17" r:id="rId13" xr:uid="{00000000-0004-0000-0200-00000C000000}"/>
    <hyperlink ref="T18" r:id="rId14" xr:uid="{00000000-0004-0000-0200-00000D000000}"/>
    <hyperlink ref="T19" r:id="rId15" xr:uid="{00000000-0004-0000-0200-00000E000000}"/>
    <hyperlink ref="T20" r:id="rId16" xr:uid="{00000000-0004-0000-0200-00000F000000}"/>
    <hyperlink ref="T21" r:id="rId17" xr:uid="{00000000-0004-0000-0200-000010000000}"/>
    <hyperlink ref="T22" r:id="rId18" xr:uid="{00000000-0004-0000-0200-000011000000}"/>
    <hyperlink ref="T23" r:id="rId19" xr:uid="{00000000-0004-0000-0200-000012000000}"/>
    <hyperlink ref="T24" r:id="rId20" xr:uid="{00000000-0004-0000-0200-000013000000}"/>
    <hyperlink ref="T25" r:id="rId21" xr:uid="{00000000-0004-0000-0200-000014000000}"/>
    <hyperlink ref="T26" r:id="rId22" xr:uid="{00000000-0004-0000-0200-000015000000}"/>
    <hyperlink ref="T27" r:id="rId23" xr:uid="{00000000-0004-0000-0200-000016000000}"/>
    <hyperlink ref="T28" r:id="rId24" xr:uid="{00000000-0004-0000-0200-000017000000}"/>
    <hyperlink ref="T29" r:id="rId25" xr:uid="{00000000-0004-0000-0200-000018000000}"/>
    <hyperlink ref="T30" r:id="rId26" xr:uid="{00000000-0004-0000-0200-000019000000}"/>
    <hyperlink ref="T31" r:id="rId27" xr:uid="{00000000-0004-0000-0200-00001A000000}"/>
    <hyperlink ref="T32" r:id="rId28" xr:uid="{00000000-0004-0000-0200-00001B000000}"/>
    <hyperlink ref="T33" r:id="rId29" xr:uid="{00000000-0004-0000-0200-00001C000000}"/>
    <hyperlink ref="T34" r:id="rId30" xr:uid="{00000000-0004-0000-0200-00001D000000}"/>
    <hyperlink ref="T35" r:id="rId31" xr:uid="{00000000-0004-0000-0200-00001E000000}"/>
    <hyperlink ref="T36" r:id="rId32" xr:uid="{00000000-0004-0000-0200-00001F000000}"/>
    <hyperlink ref="T37" r:id="rId33" xr:uid="{00000000-0004-0000-0200-000020000000}"/>
    <hyperlink ref="T38" r:id="rId34" xr:uid="{00000000-0004-0000-0200-000021000000}"/>
    <hyperlink ref="T39" r:id="rId35" xr:uid="{00000000-0004-0000-0200-000022000000}"/>
    <hyperlink ref="T40" r:id="rId36" xr:uid="{00000000-0004-0000-0200-000023000000}"/>
    <hyperlink ref="T41" r:id="rId37" xr:uid="{00000000-0004-0000-0200-000024000000}"/>
    <hyperlink ref="T42" r:id="rId38" xr:uid="{00000000-0004-0000-0200-000025000000}"/>
    <hyperlink ref="T43" r:id="rId39" xr:uid="{00000000-0004-0000-0200-000026000000}"/>
    <hyperlink ref="T44" r:id="rId40" xr:uid="{00000000-0004-0000-0200-000027000000}"/>
    <hyperlink ref="T45" r:id="rId41" xr:uid="{00000000-0004-0000-0200-000028000000}"/>
    <hyperlink ref="T46" r:id="rId42" xr:uid="{00000000-0004-0000-0200-000029000000}"/>
    <hyperlink ref="T47" r:id="rId43" xr:uid="{00000000-0004-0000-0200-00002A000000}"/>
    <hyperlink ref="T48" r:id="rId44" xr:uid="{00000000-0004-0000-0200-00002B000000}"/>
    <hyperlink ref="T49" r:id="rId45" xr:uid="{00000000-0004-0000-0200-00002C000000}"/>
    <hyperlink ref="T50" r:id="rId46" xr:uid="{00000000-0004-0000-0200-00002D000000}"/>
    <hyperlink ref="T51" r:id="rId47" xr:uid="{00000000-0004-0000-0200-00002E000000}"/>
    <hyperlink ref="T52" r:id="rId48" xr:uid="{00000000-0004-0000-0200-00002F000000}"/>
    <hyperlink ref="T53" r:id="rId49" xr:uid="{00000000-0004-0000-0200-000030000000}"/>
    <hyperlink ref="T54" r:id="rId50" xr:uid="{00000000-0004-0000-0200-000031000000}"/>
    <hyperlink ref="T55" r:id="rId51" xr:uid="{00000000-0004-0000-0200-000032000000}"/>
    <hyperlink ref="T56" r:id="rId52" xr:uid="{00000000-0004-0000-0200-000033000000}"/>
    <hyperlink ref="T57" r:id="rId53" xr:uid="{00000000-0004-0000-0200-000034000000}"/>
    <hyperlink ref="T58" r:id="rId54" xr:uid="{00000000-0004-0000-0200-000035000000}"/>
    <hyperlink ref="T59" r:id="rId55" xr:uid="{00000000-0004-0000-0200-000036000000}"/>
    <hyperlink ref="T60" r:id="rId56" xr:uid="{00000000-0004-0000-0200-000037000000}"/>
  </hyperlinks>
  <printOptions horizontalCentered="1"/>
  <pageMargins left="0.75" right="0.75" top="1" bottom="1" header="0.5" footer="0.5"/>
  <pageSetup paperSize="8" fitToHeight="0" orientation="landscape"/>
  <legacy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6B73"/>
    <pageSetUpPr fitToPage="1"/>
  </sheetPr>
  <dimension ref="A1:Q40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6" customWidth="1"/>
    <col min="4" max="4" width="34" customWidth="1"/>
    <col min="5" max="6" width="16" customWidth="1"/>
    <col min="7" max="7" width="19" customWidth="1"/>
    <col min="8" max="9" width="34" customWidth="1"/>
    <col min="10" max="10" width="16" customWidth="1"/>
    <col min="11" max="12" width="34" customWidth="1"/>
    <col min="13" max="15" width="30" customWidth="1"/>
    <col min="16" max="16" width="58" customWidth="1"/>
    <col min="17" max="17" width="44" customWidth="1"/>
  </cols>
  <sheetData>
    <row r="1" spans="1:17" ht="33" customHeight="1" x14ac:dyDescent="0.4">
      <c r="A1" s="29" t="s">
        <v>442</v>
      </c>
      <c r="B1" s="22"/>
      <c r="C1" s="22"/>
      <c r="D1" s="22"/>
      <c r="E1" s="22"/>
      <c r="F1" s="22"/>
      <c r="G1" s="22"/>
      <c r="H1" s="22"/>
    </row>
    <row r="2" spans="1:17" ht="42" customHeight="1" x14ac:dyDescent="0.25">
      <c r="A2" s="28" t="s">
        <v>443</v>
      </c>
      <c r="B2" s="22"/>
      <c r="C2" s="22"/>
      <c r="D2" s="22"/>
      <c r="E2" s="22"/>
      <c r="F2" s="22"/>
      <c r="G2" s="22"/>
      <c r="H2" s="22"/>
    </row>
    <row r="4" spans="1:17" ht="33.950000000000003" customHeight="1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444</v>
      </c>
      <c r="F4" s="1" t="s">
        <v>445</v>
      </c>
      <c r="G4" s="1" t="s">
        <v>446</v>
      </c>
      <c r="H4" s="1" t="s">
        <v>447</v>
      </c>
      <c r="I4" s="1" t="s">
        <v>35</v>
      </c>
      <c r="J4" s="1" t="s">
        <v>448</v>
      </c>
      <c r="K4" s="1" t="s">
        <v>449</v>
      </c>
      <c r="L4" s="1" t="s">
        <v>450</v>
      </c>
      <c r="M4" s="1" t="s">
        <v>451</v>
      </c>
      <c r="N4" s="1" t="s">
        <v>43</v>
      </c>
      <c r="O4" s="1" t="s">
        <v>452</v>
      </c>
      <c r="P4" s="1" t="s">
        <v>453</v>
      </c>
      <c r="Q4" s="1" t="s">
        <v>47</v>
      </c>
    </row>
    <row r="5" spans="1:17" ht="92.1" customHeight="1" x14ac:dyDescent="0.25">
      <c r="A5" s="2" t="s">
        <v>48</v>
      </c>
      <c r="B5" s="2" t="s">
        <v>49</v>
      </c>
      <c r="C5" s="2" t="s">
        <v>50</v>
      </c>
      <c r="D5" s="3" t="s">
        <v>51</v>
      </c>
      <c r="E5" s="3" t="s">
        <v>454</v>
      </c>
      <c r="F5" s="3" t="s">
        <v>455</v>
      </c>
      <c r="G5" s="3" t="s">
        <v>456</v>
      </c>
      <c r="H5" s="3" t="s">
        <v>52</v>
      </c>
      <c r="I5" s="3" t="s">
        <v>53</v>
      </c>
      <c r="J5" s="3" t="s">
        <v>457</v>
      </c>
      <c r="K5" s="3" t="s">
        <v>458</v>
      </c>
      <c r="L5" s="3" t="s">
        <v>459</v>
      </c>
      <c r="M5" s="3" t="s">
        <v>57</v>
      </c>
      <c r="N5" s="3" t="s">
        <v>55</v>
      </c>
      <c r="O5" s="3" t="s">
        <v>460</v>
      </c>
      <c r="P5" s="7" t="s">
        <v>461</v>
      </c>
      <c r="Q5" s="8" t="s">
        <v>59</v>
      </c>
    </row>
    <row r="6" spans="1:17" ht="92.1" customHeight="1" x14ac:dyDescent="0.25">
      <c r="A6" s="9" t="s">
        <v>60</v>
      </c>
      <c r="B6" s="9" t="s">
        <v>49</v>
      </c>
      <c r="C6" s="9" t="s">
        <v>50</v>
      </c>
      <c r="D6" s="10" t="s">
        <v>61</v>
      </c>
      <c r="E6" s="10" t="s">
        <v>454</v>
      </c>
      <c r="F6" s="10" t="s">
        <v>455</v>
      </c>
      <c r="G6" s="10" t="s">
        <v>456</v>
      </c>
      <c r="H6" s="10" t="s">
        <v>52</v>
      </c>
      <c r="I6" s="10" t="s">
        <v>53</v>
      </c>
      <c r="J6" s="10" t="s">
        <v>457</v>
      </c>
      <c r="K6" s="10" t="s">
        <v>458</v>
      </c>
      <c r="L6" s="10" t="s">
        <v>459</v>
      </c>
      <c r="M6" s="10" t="s">
        <v>62</v>
      </c>
      <c r="N6" s="10" t="s">
        <v>55</v>
      </c>
      <c r="O6" s="10" t="s">
        <v>460</v>
      </c>
      <c r="P6" s="14" t="s">
        <v>461</v>
      </c>
      <c r="Q6" s="15" t="s">
        <v>59</v>
      </c>
    </row>
    <row r="7" spans="1:17" ht="92.1" customHeight="1" x14ac:dyDescent="0.25">
      <c r="A7" s="2" t="s">
        <v>63</v>
      </c>
      <c r="B7" s="2" t="s">
        <v>64</v>
      </c>
      <c r="C7" s="2" t="s">
        <v>50</v>
      </c>
      <c r="D7" s="3" t="s">
        <v>65</v>
      </c>
      <c r="E7" s="3" t="s">
        <v>462</v>
      </c>
      <c r="F7" s="3" t="s">
        <v>462</v>
      </c>
      <c r="G7" s="3" t="s">
        <v>463</v>
      </c>
      <c r="H7" s="3" t="s">
        <v>66</v>
      </c>
      <c r="I7" s="3" t="s">
        <v>67</v>
      </c>
      <c r="J7" s="3" t="s">
        <v>464</v>
      </c>
      <c r="K7" s="3" t="s">
        <v>465</v>
      </c>
      <c r="L7" s="3" t="s">
        <v>466</v>
      </c>
      <c r="M7" s="3" t="s">
        <v>69</v>
      </c>
      <c r="N7" s="3" t="s">
        <v>68</v>
      </c>
      <c r="O7" s="3" t="s">
        <v>460</v>
      </c>
      <c r="P7" s="7"/>
      <c r="Q7" s="8" t="s">
        <v>71</v>
      </c>
    </row>
    <row r="8" spans="1:17" ht="92.1" customHeight="1" x14ac:dyDescent="0.25">
      <c r="A8" s="9" t="s">
        <v>72</v>
      </c>
      <c r="B8" s="9" t="s">
        <v>73</v>
      </c>
      <c r="C8" s="9" t="s">
        <v>50</v>
      </c>
      <c r="D8" s="10" t="s">
        <v>74</v>
      </c>
      <c r="E8" s="10" t="s">
        <v>467</v>
      </c>
      <c r="F8" s="10" t="s">
        <v>468</v>
      </c>
      <c r="G8" s="10" t="s">
        <v>463</v>
      </c>
      <c r="H8" s="10" t="s">
        <v>75</v>
      </c>
      <c r="I8" s="10" t="s">
        <v>76</v>
      </c>
      <c r="J8" s="10" t="s">
        <v>469</v>
      </c>
      <c r="K8" s="10" t="s">
        <v>470</v>
      </c>
      <c r="L8" s="10" t="s">
        <v>471</v>
      </c>
      <c r="M8" s="10" t="s">
        <v>78</v>
      </c>
      <c r="N8" s="10" t="s">
        <v>55</v>
      </c>
      <c r="O8" s="10" t="s">
        <v>460</v>
      </c>
      <c r="P8" s="14" t="s">
        <v>472</v>
      </c>
      <c r="Q8" s="15" t="s">
        <v>80</v>
      </c>
    </row>
    <row r="9" spans="1:17" ht="92.1" customHeight="1" x14ac:dyDescent="0.25">
      <c r="A9" s="2" t="s">
        <v>81</v>
      </c>
      <c r="B9" s="2" t="s">
        <v>82</v>
      </c>
      <c r="C9" s="2" t="s">
        <v>83</v>
      </c>
      <c r="D9" s="3" t="s">
        <v>84</v>
      </c>
      <c r="E9" s="3" t="s">
        <v>473</v>
      </c>
      <c r="F9" s="3" t="s">
        <v>474</v>
      </c>
      <c r="G9" s="3" t="s">
        <v>463</v>
      </c>
      <c r="H9" s="3" t="s">
        <v>85</v>
      </c>
      <c r="I9" s="3" t="s">
        <v>86</v>
      </c>
      <c r="J9" s="3" t="s">
        <v>475</v>
      </c>
      <c r="K9" s="3" t="s">
        <v>476</v>
      </c>
      <c r="L9" s="3" t="s">
        <v>477</v>
      </c>
      <c r="M9" s="3" t="s">
        <v>87</v>
      </c>
      <c r="N9" s="3" t="s">
        <v>68</v>
      </c>
      <c r="O9" s="3" t="s">
        <v>478</v>
      </c>
      <c r="P9" s="7" t="s">
        <v>479</v>
      </c>
      <c r="Q9" s="8" t="s">
        <v>89</v>
      </c>
    </row>
    <row r="10" spans="1:17" ht="92.1" customHeight="1" x14ac:dyDescent="0.25">
      <c r="A10" s="9" t="s">
        <v>90</v>
      </c>
      <c r="B10" s="9" t="s">
        <v>91</v>
      </c>
      <c r="C10" s="9" t="s">
        <v>83</v>
      </c>
      <c r="D10" s="10" t="s">
        <v>92</v>
      </c>
      <c r="E10" s="10" t="s">
        <v>268</v>
      </c>
      <c r="F10" s="10" t="s">
        <v>268</v>
      </c>
      <c r="G10" s="10" t="s">
        <v>480</v>
      </c>
      <c r="H10" s="10" t="s">
        <v>93</v>
      </c>
      <c r="I10" s="10" t="s">
        <v>94</v>
      </c>
      <c r="J10" s="10" t="s">
        <v>481</v>
      </c>
      <c r="K10" s="10" t="s">
        <v>482</v>
      </c>
      <c r="L10" s="10" t="s">
        <v>483</v>
      </c>
      <c r="M10" s="10" t="s">
        <v>97</v>
      </c>
      <c r="N10" s="10" t="s">
        <v>55</v>
      </c>
      <c r="O10" s="10" t="s">
        <v>478</v>
      </c>
      <c r="P10" s="14" t="s">
        <v>484</v>
      </c>
      <c r="Q10" s="15" t="s">
        <v>99</v>
      </c>
    </row>
    <row r="11" spans="1:17" ht="92.1" customHeight="1" x14ac:dyDescent="0.25">
      <c r="A11" s="2" t="s">
        <v>100</v>
      </c>
      <c r="B11" s="2" t="s">
        <v>101</v>
      </c>
      <c r="C11" s="2" t="s">
        <v>102</v>
      </c>
      <c r="D11" s="3" t="s">
        <v>103</v>
      </c>
      <c r="E11" s="3" t="s">
        <v>485</v>
      </c>
      <c r="F11" s="3" t="s">
        <v>486</v>
      </c>
      <c r="G11" s="3" t="s">
        <v>487</v>
      </c>
      <c r="H11" s="3" t="s">
        <v>104</v>
      </c>
      <c r="I11" s="3" t="s">
        <v>105</v>
      </c>
      <c r="J11" s="3" t="s">
        <v>488</v>
      </c>
      <c r="K11" s="3" t="s">
        <v>489</v>
      </c>
      <c r="L11" s="3" t="s">
        <v>490</v>
      </c>
      <c r="M11" s="3" t="s">
        <v>106</v>
      </c>
      <c r="N11" s="3" t="s">
        <v>55</v>
      </c>
      <c r="O11" s="3" t="s">
        <v>460</v>
      </c>
      <c r="P11" s="7" t="s">
        <v>491</v>
      </c>
      <c r="Q11" s="8" t="s">
        <v>108</v>
      </c>
    </row>
    <row r="12" spans="1:17" ht="92.1" customHeight="1" x14ac:dyDescent="0.25">
      <c r="A12" s="9" t="s">
        <v>109</v>
      </c>
      <c r="B12" s="9" t="s">
        <v>101</v>
      </c>
      <c r="C12" s="9" t="s">
        <v>102</v>
      </c>
      <c r="D12" s="10" t="s">
        <v>110</v>
      </c>
      <c r="E12" s="10" t="s">
        <v>486</v>
      </c>
      <c r="F12" s="10" t="s">
        <v>486</v>
      </c>
      <c r="G12" s="10" t="s">
        <v>463</v>
      </c>
      <c r="H12" s="10" t="s">
        <v>111</v>
      </c>
      <c r="I12" s="10" t="s">
        <v>105</v>
      </c>
      <c r="J12" s="10" t="s">
        <v>488</v>
      </c>
      <c r="K12" s="10" t="s">
        <v>489</v>
      </c>
      <c r="L12" s="10" t="s">
        <v>490</v>
      </c>
      <c r="M12" s="10" t="s">
        <v>112</v>
      </c>
      <c r="N12" s="10" t="s">
        <v>55</v>
      </c>
      <c r="O12" s="10" t="s">
        <v>460</v>
      </c>
      <c r="P12" s="14" t="s">
        <v>491</v>
      </c>
      <c r="Q12" s="15" t="s">
        <v>108</v>
      </c>
    </row>
    <row r="13" spans="1:17" ht="92.1" customHeight="1" x14ac:dyDescent="0.25">
      <c r="A13" s="2" t="s">
        <v>113</v>
      </c>
      <c r="B13" s="2" t="s">
        <v>101</v>
      </c>
      <c r="C13" s="2" t="s">
        <v>50</v>
      </c>
      <c r="D13" s="3" t="s">
        <v>114</v>
      </c>
      <c r="E13" s="3" t="s">
        <v>486</v>
      </c>
      <c r="F13" s="3" t="s">
        <v>486</v>
      </c>
      <c r="G13" s="3" t="s">
        <v>463</v>
      </c>
      <c r="H13" s="3" t="s">
        <v>111</v>
      </c>
      <c r="I13" s="3" t="s">
        <v>105</v>
      </c>
      <c r="J13" s="3" t="s">
        <v>488</v>
      </c>
      <c r="K13" s="3" t="s">
        <v>489</v>
      </c>
      <c r="L13" s="3" t="s">
        <v>490</v>
      </c>
      <c r="M13" s="3" t="s">
        <v>115</v>
      </c>
      <c r="N13" s="3" t="s">
        <v>55</v>
      </c>
      <c r="O13" s="3" t="s">
        <v>460</v>
      </c>
      <c r="P13" s="7" t="s">
        <v>491</v>
      </c>
      <c r="Q13" s="8" t="s">
        <v>108</v>
      </c>
    </row>
    <row r="14" spans="1:17" ht="92.1" customHeight="1" x14ac:dyDescent="0.25">
      <c r="A14" s="9" t="s">
        <v>116</v>
      </c>
      <c r="B14" s="9" t="s">
        <v>117</v>
      </c>
      <c r="C14" s="9" t="s">
        <v>118</v>
      </c>
      <c r="D14" s="10" t="s">
        <v>119</v>
      </c>
      <c r="E14" s="10" t="s">
        <v>492</v>
      </c>
      <c r="F14" s="10" t="s">
        <v>493</v>
      </c>
      <c r="G14" s="10" t="s">
        <v>463</v>
      </c>
      <c r="H14" s="10" t="s">
        <v>120</v>
      </c>
      <c r="I14" s="10" t="s">
        <v>121</v>
      </c>
      <c r="J14" s="10" t="s">
        <v>494</v>
      </c>
      <c r="K14" s="10" t="s">
        <v>495</v>
      </c>
      <c r="L14" s="10" t="s">
        <v>496</v>
      </c>
      <c r="M14" s="10" t="s">
        <v>122</v>
      </c>
      <c r="N14" s="10" t="s">
        <v>68</v>
      </c>
      <c r="O14" s="10" t="s">
        <v>460</v>
      </c>
      <c r="P14" s="14"/>
      <c r="Q14" s="15" t="s">
        <v>124</v>
      </c>
    </row>
    <row r="15" spans="1:17" ht="92.1" customHeight="1" x14ac:dyDescent="0.25">
      <c r="A15" s="2" t="s">
        <v>125</v>
      </c>
      <c r="B15" s="2" t="s">
        <v>126</v>
      </c>
      <c r="C15" s="2" t="s">
        <v>127</v>
      </c>
      <c r="D15" s="3" t="s">
        <v>128</v>
      </c>
      <c r="E15" s="3" t="s">
        <v>497</v>
      </c>
      <c r="F15" s="3" t="s">
        <v>498</v>
      </c>
      <c r="G15" s="3" t="s">
        <v>463</v>
      </c>
      <c r="H15" s="3" t="s">
        <v>129</v>
      </c>
      <c r="I15" s="3" t="s">
        <v>130</v>
      </c>
      <c r="J15" s="3" t="s">
        <v>499</v>
      </c>
      <c r="K15" s="3" t="s">
        <v>500</v>
      </c>
      <c r="L15" s="3" t="s">
        <v>501</v>
      </c>
      <c r="M15" s="3" t="s">
        <v>132</v>
      </c>
      <c r="N15" s="3" t="s">
        <v>131</v>
      </c>
      <c r="O15" s="3" t="s">
        <v>460</v>
      </c>
      <c r="P15" s="7"/>
      <c r="Q15" s="8" t="s">
        <v>134</v>
      </c>
    </row>
    <row r="16" spans="1:17" ht="92.1" customHeight="1" x14ac:dyDescent="0.25">
      <c r="A16" s="9" t="s">
        <v>135</v>
      </c>
      <c r="B16" s="9" t="s">
        <v>126</v>
      </c>
      <c r="C16" s="9" t="s">
        <v>127</v>
      </c>
      <c r="D16" s="10" t="s">
        <v>128</v>
      </c>
      <c r="E16" s="10" t="s">
        <v>497</v>
      </c>
      <c r="F16" s="10" t="s">
        <v>498</v>
      </c>
      <c r="G16" s="10" t="s">
        <v>463</v>
      </c>
      <c r="H16" s="10" t="s">
        <v>129</v>
      </c>
      <c r="I16" s="10" t="s">
        <v>136</v>
      </c>
      <c r="J16" s="10" t="s">
        <v>502</v>
      </c>
      <c r="K16" s="10" t="s">
        <v>500</v>
      </c>
      <c r="L16" s="10" t="s">
        <v>501</v>
      </c>
      <c r="M16" s="10" t="s">
        <v>138</v>
      </c>
      <c r="N16" s="16" t="s">
        <v>137</v>
      </c>
      <c r="O16" s="10" t="s">
        <v>460</v>
      </c>
      <c r="P16" s="14" t="s">
        <v>503</v>
      </c>
      <c r="Q16" s="15" t="s">
        <v>134</v>
      </c>
    </row>
    <row r="17" spans="1:17" ht="92.1" customHeight="1" x14ac:dyDescent="0.25">
      <c r="A17" s="2" t="s">
        <v>139</v>
      </c>
      <c r="B17" s="2" t="s">
        <v>140</v>
      </c>
      <c r="C17" s="2" t="s">
        <v>50</v>
      </c>
      <c r="D17" s="3" t="s">
        <v>141</v>
      </c>
      <c r="E17" s="3" t="s">
        <v>504</v>
      </c>
      <c r="F17" s="3" t="s">
        <v>505</v>
      </c>
      <c r="G17" s="3" t="s">
        <v>456</v>
      </c>
      <c r="H17" s="3" t="s">
        <v>142</v>
      </c>
      <c r="I17" s="3" t="s">
        <v>143</v>
      </c>
      <c r="J17" s="3" t="s">
        <v>506</v>
      </c>
      <c r="K17" s="3" t="s">
        <v>507</v>
      </c>
      <c r="L17" s="3" t="s">
        <v>508</v>
      </c>
      <c r="M17" s="3" t="s">
        <v>144</v>
      </c>
      <c r="N17" s="3" t="s">
        <v>68</v>
      </c>
      <c r="O17" s="3" t="s">
        <v>460</v>
      </c>
      <c r="P17" s="7" t="s">
        <v>509</v>
      </c>
      <c r="Q17" s="8" t="s">
        <v>146</v>
      </c>
    </row>
    <row r="18" spans="1:17" ht="92.1" customHeight="1" x14ac:dyDescent="0.25">
      <c r="A18" s="9" t="s">
        <v>147</v>
      </c>
      <c r="B18" s="9" t="s">
        <v>148</v>
      </c>
      <c r="C18" s="9" t="s">
        <v>102</v>
      </c>
      <c r="D18" s="10" t="s">
        <v>149</v>
      </c>
      <c r="E18" s="10" t="s">
        <v>510</v>
      </c>
      <c r="F18" s="10" t="s">
        <v>511</v>
      </c>
      <c r="G18" s="10" t="s">
        <v>463</v>
      </c>
      <c r="H18" s="10" t="s">
        <v>150</v>
      </c>
      <c r="I18" s="10" t="s">
        <v>151</v>
      </c>
      <c r="J18" s="10" t="s">
        <v>512</v>
      </c>
      <c r="K18" s="10" t="s">
        <v>513</v>
      </c>
      <c r="L18" s="10" t="s">
        <v>514</v>
      </c>
      <c r="M18" s="10" t="s">
        <v>152</v>
      </c>
      <c r="N18" s="10" t="s">
        <v>68</v>
      </c>
      <c r="O18" s="10" t="s">
        <v>460</v>
      </c>
      <c r="P18" s="14"/>
      <c r="Q18" s="15" t="s">
        <v>154</v>
      </c>
    </row>
    <row r="19" spans="1:17" ht="92.1" customHeight="1" x14ac:dyDescent="0.25">
      <c r="A19" s="2" t="s">
        <v>155</v>
      </c>
      <c r="B19" s="2" t="s">
        <v>156</v>
      </c>
      <c r="C19" s="2" t="s">
        <v>157</v>
      </c>
      <c r="D19" s="3" t="s">
        <v>158</v>
      </c>
      <c r="E19" s="3" t="s">
        <v>515</v>
      </c>
      <c r="F19" s="3" t="s">
        <v>516</v>
      </c>
      <c r="G19" s="3" t="s">
        <v>487</v>
      </c>
      <c r="H19" s="3" t="s">
        <v>159</v>
      </c>
      <c r="I19" s="3" t="s">
        <v>160</v>
      </c>
      <c r="J19" s="3" t="s">
        <v>517</v>
      </c>
      <c r="K19" s="3" t="s">
        <v>518</v>
      </c>
      <c r="L19" s="3" t="s">
        <v>519</v>
      </c>
      <c r="M19" s="3" t="s">
        <v>161</v>
      </c>
      <c r="N19" s="3" t="s">
        <v>68</v>
      </c>
      <c r="O19" s="3" t="s">
        <v>460</v>
      </c>
      <c r="P19" s="7" t="s">
        <v>520</v>
      </c>
      <c r="Q19" s="8" t="s">
        <v>163</v>
      </c>
    </row>
    <row r="20" spans="1:17" ht="92.1" customHeight="1" x14ac:dyDescent="0.25">
      <c r="A20" s="9" t="s">
        <v>164</v>
      </c>
      <c r="B20" s="9" t="s">
        <v>165</v>
      </c>
      <c r="C20" s="9" t="s">
        <v>166</v>
      </c>
      <c r="D20" s="10" t="s">
        <v>167</v>
      </c>
      <c r="E20" s="10" t="s">
        <v>168</v>
      </c>
      <c r="F20" s="10" t="s">
        <v>168</v>
      </c>
      <c r="G20" s="10" t="s">
        <v>480</v>
      </c>
      <c r="H20" s="10" t="s">
        <v>168</v>
      </c>
      <c r="I20" s="10" t="s">
        <v>169</v>
      </c>
      <c r="J20" s="10" t="s">
        <v>521</v>
      </c>
      <c r="K20" s="10" t="s">
        <v>522</v>
      </c>
      <c r="L20" s="10" t="s">
        <v>523</v>
      </c>
      <c r="M20" s="10" t="s">
        <v>170</v>
      </c>
      <c r="N20" s="10" t="s">
        <v>131</v>
      </c>
      <c r="O20" s="10" t="s">
        <v>460</v>
      </c>
      <c r="P20" s="14"/>
      <c r="Q20" s="15" t="s">
        <v>172</v>
      </c>
    </row>
    <row r="21" spans="1:17" ht="92.1" customHeight="1" x14ac:dyDescent="0.25">
      <c r="A21" s="2" t="s">
        <v>173</v>
      </c>
      <c r="B21" s="2" t="s">
        <v>165</v>
      </c>
      <c r="C21" s="2" t="s">
        <v>174</v>
      </c>
      <c r="D21" s="3" t="s">
        <v>175</v>
      </c>
      <c r="E21" s="3" t="s">
        <v>176</v>
      </c>
      <c r="F21" s="3" t="s">
        <v>176</v>
      </c>
      <c r="G21" s="3" t="s">
        <v>480</v>
      </c>
      <c r="H21" s="3" t="s">
        <v>176</v>
      </c>
      <c r="I21" s="3" t="s">
        <v>169</v>
      </c>
      <c r="J21" s="3" t="s">
        <v>521</v>
      </c>
      <c r="K21" s="3" t="s">
        <v>522</v>
      </c>
      <c r="L21" s="3" t="s">
        <v>523</v>
      </c>
      <c r="M21" s="3" t="s">
        <v>177</v>
      </c>
      <c r="N21" s="3" t="s">
        <v>131</v>
      </c>
      <c r="O21" s="3" t="s">
        <v>460</v>
      </c>
      <c r="P21" s="7"/>
      <c r="Q21" s="8" t="s">
        <v>172</v>
      </c>
    </row>
    <row r="22" spans="1:17" ht="92.1" customHeight="1" x14ac:dyDescent="0.25">
      <c r="A22" s="9" t="s">
        <v>178</v>
      </c>
      <c r="B22" s="9" t="s">
        <v>179</v>
      </c>
      <c r="C22" s="9" t="s">
        <v>157</v>
      </c>
      <c r="D22" s="10" t="s">
        <v>180</v>
      </c>
      <c r="E22" s="10" t="s">
        <v>268</v>
      </c>
      <c r="F22" s="10" t="s">
        <v>268</v>
      </c>
      <c r="G22" s="10" t="s">
        <v>524</v>
      </c>
      <c r="H22" s="10" t="s">
        <v>181</v>
      </c>
      <c r="I22" s="10" t="s">
        <v>169</v>
      </c>
      <c r="J22" s="10" t="s">
        <v>521</v>
      </c>
      <c r="K22" s="10" t="s">
        <v>525</v>
      </c>
      <c r="L22" s="10" t="s">
        <v>526</v>
      </c>
      <c r="M22" s="10" t="s">
        <v>182</v>
      </c>
      <c r="N22" s="10" t="s">
        <v>131</v>
      </c>
      <c r="O22" s="10" t="s">
        <v>460</v>
      </c>
      <c r="P22" s="14"/>
      <c r="Q22" s="15" t="s">
        <v>184</v>
      </c>
    </row>
    <row r="23" spans="1:17" ht="92.1" customHeight="1" x14ac:dyDescent="0.25">
      <c r="A23" s="2" t="s">
        <v>185</v>
      </c>
      <c r="B23" s="2" t="s">
        <v>186</v>
      </c>
      <c r="C23" s="2" t="s">
        <v>50</v>
      </c>
      <c r="D23" s="3" t="s">
        <v>187</v>
      </c>
      <c r="E23" s="3" t="s">
        <v>527</v>
      </c>
      <c r="F23" s="3" t="s">
        <v>493</v>
      </c>
      <c r="G23" s="3" t="s">
        <v>463</v>
      </c>
      <c r="H23" s="3" t="s">
        <v>188</v>
      </c>
      <c r="I23" s="3" t="s">
        <v>189</v>
      </c>
      <c r="J23" s="3" t="s">
        <v>528</v>
      </c>
      <c r="K23" s="3" t="s">
        <v>529</v>
      </c>
      <c r="L23" s="3" t="s">
        <v>530</v>
      </c>
      <c r="M23" s="3" t="s">
        <v>190</v>
      </c>
      <c r="N23" s="3" t="s">
        <v>55</v>
      </c>
      <c r="O23" s="3" t="s">
        <v>460</v>
      </c>
      <c r="P23" s="7" t="s">
        <v>531</v>
      </c>
      <c r="Q23" s="8" t="s">
        <v>192</v>
      </c>
    </row>
    <row r="24" spans="1:17" ht="92.1" customHeight="1" x14ac:dyDescent="0.25">
      <c r="A24" s="9" t="s">
        <v>193</v>
      </c>
      <c r="B24" s="9" t="s">
        <v>186</v>
      </c>
      <c r="C24" s="9" t="s">
        <v>50</v>
      </c>
      <c r="D24" s="10" t="s">
        <v>194</v>
      </c>
      <c r="E24" s="10" t="s">
        <v>527</v>
      </c>
      <c r="F24" s="10" t="s">
        <v>493</v>
      </c>
      <c r="G24" s="10" t="s">
        <v>463</v>
      </c>
      <c r="H24" s="10" t="s">
        <v>188</v>
      </c>
      <c r="I24" s="10" t="s">
        <v>189</v>
      </c>
      <c r="J24" s="10" t="s">
        <v>528</v>
      </c>
      <c r="K24" s="10" t="s">
        <v>529</v>
      </c>
      <c r="L24" s="10" t="s">
        <v>530</v>
      </c>
      <c r="M24" s="10" t="s">
        <v>190</v>
      </c>
      <c r="N24" s="10" t="s">
        <v>55</v>
      </c>
      <c r="O24" s="10" t="s">
        <v>460</v>
      </c>
      <c r="P24" s="14" t="s">
        <v>531</v>
      </c>
      <c r="Q24" s="15" t="s">
        <v>192</v>
      </c>
    </row>
    <row r="25" spans="1:17" ht="92.1" customHeight="1" x14ac:dyDescent="0.25">
      <c r="A25" s="2" t="s">
        <v>195</v>
      </c>
      <c r="B25" s="2" t="s">
        <v>186</v>
      </c>
      <c r="C25" s="2" t="s">
        <v>50</v>
      </c>
      <c r="D25" s="3" t="s">
        <v>196</v>
      </c>
      <c r="E25" s="3" t="s">
        <v>527</v>
      </c>
      <c r="F25" s="3" t="s">
        <v>493</v>
      </c>
      <c r="G25" s="3" t="s">
        <v>463</v>
      </c>
      <c r="H25" s="3" t="s">
        <v>188</v>
      </c>
      <c r="I25" s="3" t="s">
        <v>189</v>
      </c>
      <c r="J25" s="3" t="s">
        <v>528</v>
      </c>
      <c r="K25" s="3" t="s">
        <v>529</v>
      </c>
      <c r="L25" s="3" t="s">
        <v>530</v>
      </c>
      <c r="M25" s="3" t="s">
        <v>190</v>
      </c>
      <c r="N25" s="3" t="s">
        <v>55</v>
      </c>
      <c r="O25" s="3" t="s">
        <v>460</v>
      </c>
      <c r="P25" s="7" t="s">
        <v>531</v>
      </c>
      <c r="Q25" s="8" t="s">
        <v>192</v>
      </c>
    </row>
    <row r="26" spans="1:17" ht="92.1" customHeight="1" x14ac:dyDescent="0.25">
      <c r="A26" s="9" t="s">
        <v>197</v>
      </c>
      <c r="B26" s="9" t="s">
        <v>186</v>
      </c>
      <c r="C26" s="9" t="s">
        <v>50</v>
      </c>
      <c r="D26" s="10" t="s">
        <v>198</v>
      </c>
      <c r="E26" s="10" t="s">
        <v>527</v>
      </c>
      <c r="F26" s="10" t="s">
        <v>493</v>
      </c>
      <c r="G26" s="10" t="s">
        <v>463</v>
      </c>
      <c r="H26" s="10" t="s">
        <v>188</v>
      </c>
      <c r="I26" s="10" t="s">
        <v>189</v>
      </c>
      <c r="J26" s="10" t="s">
        <v>528</v>
      </c>
      <c r="K26" s="10" t="s">
        <v>529</v>
      </c>
      <c r="L26" s="10" t="s">
        <v>530</v>
      </c>
      <c r="M26" s="10" t="s">
        <v>190</v>
      </c>
      <c r="N26" s="10" t="s">
        <v>55</v>
      </c>
      <c r="O26" s="10" t="s">
        <v>460</v>
      </c>
      <c r="P26" s="14" t="s">
        <v>531</v>
      </c>
      <c r="Q26" s="15" t="s">
        <v>192</v>
      </c>
    </row>
    <row r="27" spans="1:17" ht="92.1" customHeight="1" x14ac:dyDescent="0.25">
      <c r="A27" s="2" t="s">
        <v>199</v>
      </c>
      <c r="B27" s="2" t="s">
        <v>186</v>
      </c>
      <c r="C27" s="2" t="s">
        <v>50</v>
      </c>
      <c r="D27" s="3" t="s">
        <v>200</v>
      </c>
      <c r="E27" s="3" t="s">
        <v>527</v>
      </c>
      <c r="F27" s="3" t="s">
        <v>493</v>
      </c>
      <c r="G27" s="3" t="s">
        <v>463</v>
      </c>
      <c r="H27" s="3" t="s">
        <v>188</v>
      </c>
      <c r="I27" s="3" t="s">
        <v>189</v>
      </c>
      <c r="J27" s="3" t="s">
        <v>528</v>
      </c>
      <c r="K27" s="3" t="s">
        <v>529</v>
      </c>
      <c r="L27" s="3" t="s">
        <v>530</v>
      </c>
      <c r="M27" s="3" t="s">
        <v>190</v>
      </c>
      <c r="N27" s="16" t="s">
        <v>201</v>
      </c>
      <c r="O27" s="3" t="s">
        <v>460</v>
      </c>
      <c r="P27" s="7" t="s">
        <v>531</v>
      </c>
      <c r="Q27" s="8" t="s">
        <v>192</v>
      </c>
    </row>
    <row r="28" spans="1:17" ht="92.1" customHeight="1" x14ac:dyDescent="0.25">
      <c r="A28" s="9" t="s">
        <v>202</v>
      </c>
      <c r="B28" s="9" t="s">
        <v>203</v>
      </c>
      <c r="C28" s="9" t="s">
        <v>50</v>
      </c>
      <c r="D28" s="10" t="s">
        <v>204</v>
      </c>
      <c r="E28" s="10" t="s">
        <v>532</v>
      </c>
      <c r="F28" s="10" t="s">
        <v>533</v>
      </c>
      <c r="G28" s="10" t="s">
        <v>534</v>
      </c>
      <c r="H28" s="10" t="s">
        <v>205</v>
      </c>
      <c r="I28" s="10" t="s">
        <v>206</v>
      </c>
      <c r="J28" s="10" t="s">
        <v>535</v>
      </c>
      <c r="K28" s="10" t="s">
        <v>536</v>
      </c>
      <c r="L28" s="10" t="s">
        <v>537</v>
      </c>
      <c r="M28" s="10" t="s">
        <v>208</v>
      </c>
      <c r="N28" s="10" t="s">
        <v>131</v>
      </c>
      <c r="O28" s="10" t="s">
        <v>460</v>
      </c>
      <c r="P28" s="14" t="s">
        <v>538</v>
      </c>
      <c r="Q28" s="15" t="s">
        <v>210</v>
      </c>
    </row>
    <row r="29" spans="1:17" ht="92.1" customHeight="1" x14ac:dyDescent="0.25">
      <c r="A29" s="2" t="s">
        <v>211</v>
      </c>
      <c r="B29" s="2" t="s">
        <v>212</v>
      </c>
      <c r="C29" s="2" t="s">
        <v>83</v>
      </c>
      <c r="D29" s="3" t="s">
        <v>213</v>
      </c>
      <c r="E29" s="3" t="s">
        <v>539</v>
      </c>
      <c r="F29" s="3" t="s">
        <v>540</v>
      </c>
      <c r="G29" s="3" t="s">
        <v>541</v>
      </c>
      <c r="H29" s="3" t="s">
        <v>214</v>
      </c>
      <c r="I29" s="3" t="s">
        <v>215</v>
      </c>
      <c r="J29" s="3" t="s">
        <v>542</v>
      </c>
      <c r="K29" s="3" t="s">
        <v>543</v>
      </c>
      <c r="L29" s="3" t="s">
        <v>544</v>
      </c>
      <c r="M29" s="3" t="s">
        <v>217</v>
      </c>
      <c r="N29" s="3" t="s">
        <v>131</v>
      </c>
      <c r="O29" s="3" t="s">
        <v>460</v>
      </c>
      <c r="P29" s="7" t="s">
        <v>545</v>
      </c>
      <c r="Q29" s="8" t="s">
        <v>219</v>
      </c>
    </row>
    <row r="30" spans="1:17" ht="92.1" customHeight="1" x14ac:dyDescent="0.25">
      <c r="A30" s="9" t="s">
        <v>220</v>
      </c>
      <c r="B30" s="9" t="s">
        <v>212</v>
      </c>
      <c r="C30" s="9" t="s">
        <v>83</v>
      </c>
      <c r="D30" s="10" t="s">
        <v>213</v>
      </c>
      <c r="E30" s="10" t="s">
        <v>539</v>
      </c>
      <c r="F30" s="10" t="s">
        <v>540</v>
      </c>
      <c r="G30" s="10" t="s">
        <v>541</v>
      </c>
      <c r="H30" s="10" t="s">
        <v>221</v>
      </c>
      <c r="I30" s="10" t="s">
        <v>215</v>
      </c>
      <c r="J30" s="10" t="s">
        <v>542</v>
      </c>
      <c r="K30" s="10" t="s">
        <v>543</v>
      </c>
      <c r="L30" s="10" t="s">
        <v>544</v>
      </c>
      <c r="M30" s="10" t="s">
        <v>217</v>
      </c>
      <c r="N30" s="10" t="s">
        <v>131</v>
      </c>
      <c r="O30" s="10" t="s">
        <v>460</v>
      </c>
      <c r="P30" s="14" t="s">
        <v>545</v>
      </c>
      <c r="Q30" s="15" t="s">
        <v>219</v>
      </c>
    </row>
    <row r="31" spans="1:17" ht="92.1" customHeight="1" x14ac:dyDescent="0.25">
      <c r="A31" s="2" t="s">
        <v>222</v>
      </c>
      <c r="B31" s="2" t="s">
        <v>223</v>
      </c>
      <c r="C31" s="2" t="s">
        <v>224</v>
      </c>
      <c r="D31" s="3" t="s">
        <v>225</v>
      </c>
      <c r="E31" s="3" t="s">
        <v>532</v>
      </c>
      <c r="F31" s="3" t="s">
        <v>268</v>
      </c>
      <c r="G31" s="3" t="s">
        <v>546</v>
      </c>
      <c r="H31" s="3" t="s">
        <v>226</v>
      </c>
      <c r="I31" s="3" t="s">
        <v>227</v>
      </c>
      <c r="J31" s="3" t="s">
        <v>547</v>
      </c>
      <c r="K31" s="3" t="s">
        <v>548</v>
      </c>
      <c r="L31" s="3" t="s">
        <v>549</v>
      </c>
      <c r="M31" s="3" t="s">
        <v>230</v>
      </c>
      <c r="N31" s="16" t="s">
        <v>229</v>
      </c>
      <c r="O31" s="3" t="s">
        <v>460</v>
      </c>
      <c r="P31" s="7"/>
      <c r="Q31" s="8" t="s">
        <v>232</v>
      </c>
    </row>
    <row r="32" spans="1:17" ht="92.1" customHeight="1" x14ac:dyDescent="0.25">
      <c r="A32" s="9" t="s">
        <v>233</v>
      </c>
      <c r="B32" s="9" t="s">
        <v>234</v>
      </c>
      <c r="C32" s="9" t="s">
        <v>50</v>
      </c>
      <c r="D32" s="10" t="s">
        <v>235</v>
      </c>
      <c r="E32" s="10"/>
      <c r="F32" s="10"/>
      <c r="G32" s="10" t="s">
        <v>550</v>
      </c>
      <c r="H32" s="10" t="s">
        <v>236</v>
      </c>
      <c r="I32" s="10" t="s">
        <v>237</v>
      </c>
      <c r="J32" s="10" t="s">
        <v>551</v>
      </c>
      <c r="K32" s="10" t="s">
        <v>552</v>
      </c>
      <c r="L32" s="10" t="s">
        <v>553</v>
      </c>
      <c r="M32" s="10" t="s">
        <v>239</v>
      </c>
      <c r="N32" s="16" t="s">
        <v>238</v>
      </c>
      <c r="O32" s="10" t="s">
        <v>460</v>
      </c>
      <c r="P32" s="14"/>
      <c r="Q32" s="15" t="s">
        <v>241</v>
      </c>
    </row>
    <row r="33" spans="1:17" ht="92.1" customHeight="1" x14ac:dyDescent="0.25">
      <c r="A33" s="2" t="s">
        <v>242</v>
      </c>
      <c r="B33" s="2" t="s">
        <v>243</v>
      </c>
      <c r="C33" s="2" t="s">
        <v>174</v>
      </c>
      <c r="D33" s="3" t="s">
        <v>244</v>
      </c>
      <c r="E33" s="3" t="s">
        <v>554</v>
      </c>
      <c r="F33" s="3" t="s">
        <v>555</v>
      </c>
      <c r="G33" s="3" t="s">
        <v>463</v>
      </c>
      <c r="H33" s="3" t="s">
        <v>245</v>
      </c>
      <c r="I33" s="3" t="s">
        <v>246</v>
      </c>
      <c r="J33" s="3" t="s">
        <v>556</v>
      </c>
      <c r="K33" s="3" t="s">
        <v>557</v>
      </c>
      <c r="L33" s="3" t="s">
        <v>558</v>
      </c>
      <c r="M33" s="3" t="s">
        <v>248</v>
      </c>
      <c r="N33" s="3" t="s">
        <v>131</v>
      </c>
      <c r="O33" s="3" t="s">
        <v>460</v>
      </c>
      <c r="P33" s="7" t="s">
        <v>559</v>
      </c>
      <c r="Q33" s="8" t="s">
        <v>250</v>
      </c>
    </row>
    <row r="34" spans="1:17" ht="92.1" customHeight="1" x14ac:dyDescent="0.25">
      <c r="A34" s="9" t="s">
        <v>251</v>
      </c>
      <c r="B34" s="9" t="s">
        <v>252</v>
      </c>
      <c r="C34" s="9" t="s">
        <v>174</v>
      </c>
      <c r="D34" s="10" t="s">
        <v>253</v>
      </c>
      <c r="E34" s="10" t="s">
        <v>454</v>
      </c>
      <c r="F34" s="10" t="s">
        <v>554</v>
      </c>
      <c r="G34" s="10" t="s">
        <v>463</v>
      </c>
      <c r="H34" s="10" t="s">
        <v>254</v>
      </c>
      <c r="I34" s="10" t="s">
        <v>255</v>
      </c>
      <c r="J34" s="10" t="s">
        <v>560</v>
      </c>
      <c r="K34" s="10" t="s">
        <v>561</v>
      </c>
      <c r="L34" s="10" t="s">
        <v>562</v>
      </c>
      <c r="M34" s="10" t="s">
        <v>257</v>
      </c>
      <c r="N34" s="10" t="s">
        <v>256</v>
      </c>
      <c r="O34" s="10" t="s">
        <v>460</v>
      </c>
      <c r="P34" s="14" t="s">
        <v>563</v>
      </c>
      <c r="Q34" s="15" t="s">
        <v>259</v>
      </c>
    </row>
    <row r="35" spans="1:17" ht="92.1" customHeight="1" x14ac:dyDescent="0.25">
      <c r="A35" s="2" t="s">
        <v>260</v>
      </c>
      <c r="B35" s="2" t="s">
        <v>252</v>
      </c>
      <c r="C35" s="2" t="s">
        <v>174</v>
      </c>
      <c r="D35" s="3" t="s">
        <v>253</v>
      </c>
      <c r="E35" s="3" t="s">
        <v>564</v>
      </c>
      <c r="F35" s="3" t="s">
        <v>565</v>
      </c>
      <c r="G35" s="3" t="s">
        <v>463</v>
      </c>
      <c r="H35" s="3" t="s">
        <v>261</v>
      </c>
      <c r="I35" s="3" t="s">
        <v>255</v>
      </c>
      <c r="J35" s="3" t="s">
        <v>560</v>
      </c>
      <c r="K35" s="3" t="s">
        <v>561</v>
      </c>
      <c r="L35" s="3" t="s">
        <v>562</v>
      </c>
      <c r="M35" s="3" t="s">
        <v>257</v>
      </c>
      <c r="N35" s="3" t="s">
        <v>256</v>
      </c>
      <c r="O35" s="3" t="s">
        <v>460</v>
      </c>
      <c r="P35" s="7" t="s">
        <v>563</v>
      </c>
      <c r="Q35" s="8" t="s">
        <v>259</v>
      </c>
    </row>
    <row r="36" spans="1:17" ht="92.1" customHeight="1" x14ac:dyDescent="0.25">
      <c r="A36" s="9" t="s">
        <v>262</v>
      </c>
      <c r="B36" s="9" t="s">
        <v>252</v>
      </c>
      <c r="C36" s="9" t="s">
        <v>174</v>
      </c>
      <c r="D36" s="10" t="s">
        <v>253</v>
      </c>
      <c r="E36" s="10" t="s">
        <v>566</v>
      </c>
      <c r="F36" s="10" t="s">
        <v>527</v>
      </c>
      <c r="G36" s="10" t="s">
        <v>463</v>
      </c>
      <c r="H36" s="10" t="s">
        <v>263</v>
      </c>
      <c r="I36" s="10" t="s">
        <v>255</v>
      </c>
      <c r="J36" s="10" t="s">
        <v>560</v>
      </c>
      <c r="K36" s="10" t="s">
        <v>561</v>
      </c>
      <c r="L36" s="10" t="s">
        <v>562</v>
      </c>
      <c r="M36" s="10" t="s">
        <v>257</v>
      </c>
      <c r="N36" s="10" t="s">
        <v>256</v>
      </c>
      <c r="O36" s="10" t="s">
        <v>460</v>
      </c>
      <c r="P36" s="14" t="s">
        <v>563</v>
      </c>
      <c r="Q36" s="15" t="s">
        <v>259</v>
      </c>
    </row>
    <row r="37" spans="1:17" ht="92.1" customHeight="1" x14ac:dyDescent="0.25">
      <c r="A37" s="2" t="s">
        <v>264</v>
      </c>
      <c r="B37" s="2" t="s">
        <v>252</v>
      </c>
      <c r="C37" s="2" t="s">
        <v>174</v>
      </c>
      <c r="D37" s="3" t="s">
        <v>253</v>
      </c>
      <c r="E37" s="3" t="s">
        <v>493</v>
      </c>
      <c r="F37" s="3" t="s">
        <v>567</v>
      </c>
      <c r="G37" s="3" t="s">
        <v>463</v>
      </c>
      <c r="H37" s="3" t="s">
        <v>265</v>
      </c>
      <c r="I37" s="3" t="s">
        <v>255</v>
      </c>
      <c r="J37" s="3" t="s">
        <v>560</v>
      </c>
      <c r="K37" s="3" t="s">
        <v>561</v>
      </c>
      <c r="L37" s="3" t="s">
        <v>562</v>
      </c>
      <c r="M37" s="3" t="s">
        <v>257</v>
      </c>
      <c r="N37" s="3" t="s">
        <v>256</v>
      </c>
      <c r="O37" s="3" t="s">
        <v>460</v>
      </c>
      <c r="P37" s="7" t="s">
        <v>563</v>
      </c>
      <c r="Q37" s="8" t="s">
        <v>259</v>
      </c>
    </row>
    <row r="38" spans="1:17" ht="92.1" customHeight="1" x14ac:dyDescent="0.25">
      <c r="A38" s="9" t="s">
        <v>266</v>
      </c>
      <c r="B38" s="9" t="s">
        <v>252</v>
      </c>
      <c r="C38" s="9" t="s">
        <v>174</v>
      </c>
      <c r="D38" s="10" t="s">
        <v>267</v>
      </c>
      <c r="E38" s="10" t="s">
        <v>268</v>
      </c>
      <c r="F38" s="10" t="s">
        <v>268</v>
      </c>
      <c r="G38" s="10" t="s">
        <v>480</v>
      </c>
      <c r="H38" s="10" t="s">
        <v>268</v>
      </c>
      <c r="I38" s="10" t="s">
        <v>269</v>
      </c>
      <c r="J38" s="10" t="s">
        <v>481</v>
      </c>
      <c r="K38" s="10" t="s">
        <v>568</v>
      </c>
      <c r="L38" s="10" t="s">
        <v>569</v>
      </c>
      <c r="M38" s="10" t="s">
        <v>272</v>
      </c>
      <c r="N38" s="16" t="s">
        <v>271</v>
      </c>
      <c r="O38" s="10" t="s">
        <v>460</v>
      </c>
      <c r="P38" s="14"/>
      <c r="Q38" s="15" t="s">
        <v>259</v>
      </c>
    </row>
    <row r="39" spans="1:17" ht="92.1" customHeight="1" x14ac:dyDescent="0.25">
      <c r="A39" s="2" t="s">
        <v>273</v>
      </c>
      <c r="B39" s="2" t="s">
        <v>274</v>
      </c>
      <c r="C39" s="2" t="s">
        <v>118</v>
      </c>
      <c r="D39" s="3" t="s">
        <v>275</v>
      </c>
      <c r="E39" s="3" t="s">
        <v>268</v>
      </c>
      <c r="F39" s="3" t="s">
        <v>570</v>
      </c>
      <c r="G39" s="3" t="s">
        <v>546</v>
      </c>
      <c r="H39" s="3" t="s">
        <v>276</v>
      </c>
      <c r="I39" s="3" t="s">
        <v>277</v>
      </c>
      <c r="J39" s="3" t="s">
        <v>571</v>
      </c>
      <c r="K39" s="3" t="s">
        <v>572</v>
      </c>
      <c r="L39" s="3" t="s">
        <v>573</v>
      </c>
      <c r="M39" s="3" t="s">
        <v>280</v>
      </c>
      <c r="N39" s="16" t="s">
        <v>279</v>
      </c>
      <c r="O39" s="3" t="s">
        <v>460</v>
      </c>
      <c r="P39" s="7"/>
      <c r="Q39" s="8" t="s">
        <v>282</v>
      </c>
    </row>
    <row r="40" spans="1:17" ht="92.1" customHeight="1" x14ac:dyDescent="0.25">
      <c r="A40" s="9" t="s">
        <v>283</v>
      </c>
      <c r="B40" s="9" t="s">
        <v>284</v>
      </c>
      <c r="C40" s="9" t="s">
        <v>50</v>
      </c>
      <c r="D40" s="10" t="s">
        <v>285</v>
      </c>
      <c r="E40" s="10" t="s">
        <v>574</v>
      </c>
      <c r="F40" s="10" t="s">
        <v>570</v>
      </c>
      <c r="G40" s="10" t="s">
        <v>546</v>
      </c>
      <c r="H40" s="10" t="s">
        <v>286</v>
      </c>
      <c r="I40" s="10" t="s">
        <v>287</v>
      </c>
      <c r="J40" s="10" t="s">
        <v>575</v>
      </c>
      <c r="K40" s="10" t="s">
        <v>576</v>
      </c>
      <c r="L40" s="10" t="s">
        <v>577</v>
      </c>
      <c r="M40" s="10" t="s">
        <v>289</v>
      </c>
      <c r="N40" s="10" t="s">
        <v>55</v>
      </c>
      <c r="O40" s="10" t="s">
        <v>460</v>
      </c>
      <c r="P40" s="14" t="s">
        <v>578</v>
      </c>
      <c r="Q40" s="15" t="s">
        <v>291</v>
      </c>
    </row>
  </sheetData>
  <autoFilter ref="A4:Q40" xr:uid="{00000000-0009-0000-0000-000003000000}"/>
  <mergeCells count="2">
    <mergeCell ref="A2:H2"/>
    <mergeCell ref="A1:H1"/>
  </mergeCells>
  <hyperlinks>
    <hyperlink ref="Q5" r:id="rId1" xr:uid="{00000000-0004-0000-0300-000000000000}"/>
    <hyperlink ref="Q6" r:id="rId2" xr:uid="{00000000-0004-0000-0300-000001000000}"/>
    <hyperlink ref="Q7" r:id="rId3" xr:uid="{00000000-0004-0000-0300-000002000000}"/>
    <hyperlink ref="Q8" r:id="rId4" xr:uid="{00000000-0004-0000-0300-000003000000}"/>
    <hyperlink ref="Q9" r:id="rId5" xr:uid="{00000000-0004-0000-0300-000004000000}"/>
    <hyperlink ref="Q10" r:id="rId6" xr:uid="{00000000-0004-0000-0300-000005000000}"/>
    <hyperlink ref="Q11" r:id="rId7" xr:uid="{00000000-0004-0000-0300-000006000000}"/>
    <hyperlink ref="Q12" r:id="rId8" xr:uid="{00000000-0004-0000-0300-000007000000}"/>
    <hyperlink ref="Q13" r:id="rId9" xr:uid="{00000000-0004-0000-0300-000008000000}"/>
    <hyperlink ref="Q14" r:id="rId10" xr:uid="{00000000-0004-0000-0300-000009000000}"/>
    <hyperlink ref="Q15" r:id="rId11" xr:uid="{00000000-0004-0000-0300-00000A000000}"/>
    <hyperlink ref="Q16" r:id="rId12" xr:uid="{00000000-0004-0000-0300-00000B000000}"/>
    <hyperlink ref="Q17" r:id="rId13" xr:uid="{00000000-0004-0000-0300-00000C000000}"/>
    <hyperlink ref="Q18" r:id="rId14" xr:uid="{00000000-0004-0000-0300-00000D000000}"/>
    <hyperlink ref="Q19" r:id="rId15" xr:uid="{00000000-0004-0000-0300-00000E000000}"/>
    <hyperlink ref="Q20" r:id="rId16" xr:uid="{00000000-0004-0000-0300-00000F000000}"/>
    <hyperlink ref="Q21" r:id="rId17" xr:uid="{00000000-0004-0000-0300-000010000000}"/>
    <hyperlink ref="Q22" r:id="rId18" xr:uid="{00000000-0004-0000-0300-000011000000}"/>
    <hyperlink ref="Q23" r:id="rId19" xr:uid="{00000000-0004-0000-0300-000012000000}"/>
    <hyperlink ref="Q24" r:id="rId20" xr:uid="{00000000-0004-0000-0300-000013000000}"/>
    <hyperlink ref="Q25" r:id="rId21" xr:uid="{00000000-0004-0000-0300-000014000000}"/>
    <hyperlink ref="Q26" r:id="rId22" xr:uid="{00000000-0004-0000-0300-000015000000}"/>
    <hyperlink ref="Q27" r:id="rId23" xr:uid="{00000000-0004-0000-0300-000016000000}"/>
    <hyperlink ref="Q28" r:id="rId24" xr:uid="{00000000-0004-0000-0300-000017000000}"/>
    <hyperlink ref="Q29" r:id="rId25" xr:uid="{00000000-0004-0000-0300-000018000000}"/>
    <hyperlink ref="Q30" r:id="rId26" xr:uid="{00000000-0004-0000-0300-000019000000}"/>
    <hyperlink ref="Q31" r:id="rId27" xr:uid="{00000000-0004-0000-0300-00001A000000}"/>
    <hyperlink ref="Q32" r:id="rId28" xr:uid="{00000000-0004-0000-0300-00001B000000}"/>
    <hyperlink ref="Q33" r:id="rId29" xr:uid="{00000000-0004-0000-0300-00001C000000}"/>
    <hyperlink ref="Q34" r:id="rId30" xr:uid="{00000000-0004-0000-0300-00001D000000}"/>
    <hyperlink ref="Q35" r:id="rId31" xr:uid="{00000000-0004-0000-0300-00001E000000}"/>
    <hyperlink ref="Q36" r:id="rId32" xr:uid="{00000000-0004-0000-0300-00001F000000}"/>
    <hyperlink ref="Q37" r:id="rId33" xr:uid="{00000000-0004-0000-0300-000020000000}"/>
    <hyperlink ref="Q38" r:id="rId34" xr:uid="{00000000-0004-0000-0300-000021000000}"/>
    <hyperlink ref="Q39" r:id="rId35" xr:uid="{00000000-0004-0000-0300-000022000000}"/>
    <hyperlink ref="Q40" r:id="rId36" xr:uid="{00000000-0004-0000-0300-000023000000}"/>
  </hyperlinks>
  <printOptions horizontalCentered="1"/>
  <pageMargins left="0.75" right="0.75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6B73"/>
    <pageSetUpPr fitToPage="1"/>
  </sheetPr>
  <dimension ref="A1:L19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7" width="16" customWidth="1"/>
    <col min="8" max="9" width="19" customWidth="1"/>
    <col min="10" max="10" width="16" customWidth="1"/>
    <col min="11" max="11" width="44" customWidth="1"/>
    <col min="12" max="12" width="58" customWidth="1"/>
  </cols>
  <sheetData>
    <row r="1" spans="1:12" ht="33" customHeight="1" x14ac:dyDescent="0.4">
      <c r="A1" s="29" t="s">
        <v>579</v>
      </c>
      <c r="B1" s="22"/>
      <c r="C1" s="22"/>
      <c r="D1" s="22"/>
      <c r="E1" s="22"/>
      <c r="F1" s="22"/>
      <c r="G1" s="22"/>
      <c r="H1" s="22"/>
    </row>
    <row r="2" spans="1:12" ht="42" customHeight="1" x14ac:dyDescent="0.25">
      <c r="A2" s="28" t="s">
        <v>580</v>
      </c>
      <c r="B2" s="22"/>
      <c r="C2" s="22"/>
      <c r="D2" s="22"/>
      <c r="E2" s="22"/>
      <c r="F2" s="22"/>
      <c r="G2" s="22"/>
      <c r="H2" s="22"/>
    </row>
    <row r="4" spans="1:12" ht="33.950000000000003" customHeight="1" x14ac:dyDescent="0.25">
      <c r="A4" s="1" t="s">
        <v>581</v>
      </c>
      <c r="B4" s="1" t="s">
        <v>30</v>
      </c>
      <c r="C4" s="1" t="s">
        <v>31</v>
      </c>
      <c r="D4" s="1" t="s">
        <v>32</v>
      </c>
      <c r="E4" s="1" t="s">
        <v>582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299</v>
      </c>
      <c r="K4" s="1" t="s">
        <v>47</v>
      </c>
      <c r="L4" s="1" t="s">
        <v>583</v>
      </c>
    </row>
    <row r="5" spans="1:12" ht="60.95" customHeight="1" x14ac:dyDescent="0.25">
      <c r="A5" s="2" t="s">
        <v>584</v>
      </c>
      <c r="B5" s="2" t="s">
        <v>48</v>
      </c>
      <c r="C5" s="2" t="s">
        <v>49</v>
      </c>
      <c r="D5" s="2" t="s">
        <v>50</v>
      </c>
      <c r="E5" s="3" t="s">
        <v>585</v>
      </c>
      <c r="F5" s="4">
        <v>88</v>
      </c>
      <c r="G5" s="4">
        <v>46</v>
      </c>
      <c r="H5" s="5">
        <f t="shared" ref="H5:H19" si="0">IF(OR(F5="",G5="",F5=0),"",G5/F5)</f>
        <v>0.52272727272727271</v>
      </c>
      <c r="I5" s="6"/>
      <c r="J5" s="3" t="s">
        <v>586</v>
      </c>
      <c r="K5" s="8" t="s">
        <v>59</v>
      </c>
      <c r="L5" s="7" t="s">
        <v>587</v>
      </c>
    </row>
    <row r="6" spans="1:12" ht="60.95" customHeight="1" x14ac:dyDescent="0.25">
      <c r="A6" s="9" t="s">
        <v>588</v>
      </c>
      <c r="B6" s="9" t="s">
        <v>48</v>
      </c>
      <c r="C6" s="9" t="s">
        <v>49</v>
      </c>
      <c r="D6" s="9" t="s">
        <v>50</v>
      </c>
      <c r="E6" s="10" t="s">
        <v>589</v>
      </c>
      <c r="F6" s="11">
        <v>123</v>
      </c>
      <c r="G6" s="11">
        <v>72</v>
      </c>
      <c r="H6" s="12">
        <f t="shared" si="0"/>
        <v>0.58536585365853655</v>
      </c>
      <c r="I6" s="13"/>
      <c r="J6" s="10" t="s">
        <v>586</v>
      </c>
      <c r="K6" s="15" t="s">
        <v>59</v>
      </c>
      <c r="L6" s="14" t="s">
        <v>587</v>
      </c>
    </row>
    <row r="7" spans="1:12" ht="60.95" customHeight="1" x14ac:dyDescent="0.25">
      <c r="A7" s="2" t="s">
        <v>590</v>
      </c>
      <c r="B7" s="2" t="s">
        <v>48</v>
      </c>
      <c r="C7" s="2" t="s">
        <v>49</v>
      </c>
      <c r="D7" s="2" t="s">
        <v>50</v>
      </c>
      <c r="E7" s="3" t="s">
        <v>591</v>
      </c>
      <c r="F7" s="4">
        <v>121</v>
      </c>
      <c r="G7" s="4">
        <v>69</v>
      </c>
      <c r="H7" s="5">
        <f t="shared" si="0"/>
        <v>0.57024793388429751</v>
      </c>
      <c r="I7" s="6"/>
      <c r="J7" s="3" t="s">
        <v>586</v>
      </c>
      <c r="K7" s="8" t="s">
        <v>59</v>
      </c>
      <c r="L7" s="7" t="s">
        <v>587</v>
      </c>
    </row>
    <row r="8" spans="1:12" ht="60.95" customHeight="1" x14ac:dyDescent="0.25">
      <c r="A8" s="9" t="s">
        <v>592</v>
      </c>
      <c r="B8" s="9" t="s">
        <v>48</v>
      </c>
      <c r="C8" s="9" t="s">
        <v>49</v>
      </c>
      <c r="D8" s="9" t="s">
        <v>50</v>
      </c>
      <c r="E8" s="10" t="s">
        <v>593</v>
      </c>
      <c r="F8" s="11">
        <v>53</v>
      </c>
      <c r="G8" s="11">
        <v>33</v>
      </c>
      <c r="H8" s="12">
        <f t="shared" si="0"/>
        <v>0.62264150943396224</v>
      </c>
      <c r="I8" s="13"/>
      <c r="J8" s="10" t="s">
        <v>586</v>
      </c>
      <c r="K8" s="15" t="s">
        <v>59</v>
      </c>
      <c r="L8" s="14" t="s">
        <v>587</v>
      </c>
    </row>
    <row r="9" spans="1:12" ht="60.95" customHeight="1" x14ac:dyDescent="0.25">
      <c r="A9" s="2" t="s">
        <v>594</v>
      </c>
      <c r="B9" s="2" t="s">
        <v>60</v>
      </c>
      <c r="C9" s="2" t="s">
        <v>49</v>
      </c>
      <c r="D9" s="2" t="s">
        <v>50</v>
      </c>
      <c r="E9" s="3" t="s">
        <v>585</v>
      </c>
      <c r="F9" s="4">
        <v>45</v>
      </c>
      <c r="G9" s="4">
        <v>17</v>
      </c>
      <c r="H9" s="5">
        <f t="shared" si="0"/>
        <v>0.37777777777777777</v>
      </c>
      <c r="I9" s="6"/>
      <c r="J9" s="3" t="s">
        <v>586</v>
      </c>
      <c r="K9" s="8" t="s">
        <v>59</v>
      </c>
      <c r="L9" s="7" t="s">
        <v>587</v>
      </c>
    </row>
    <row r="10" spans="1:12" ht="60.95" customHeight="1" x14ac:dyDescent="0.25">
      <c r="A10" s="9" t="s">
        <v>595</v>
      </c>
      <c r="B10" s="9" t="s">
        <v>60</v>
      </c>
      <c r="C10" s="9" t="s">
        <v>49</v>
      </c>
      <c r="D10" s="9" t="s">
        <v>50</v>
      </c>
      <c r="E10" s="10" t="s">
        <v>589</v>
      </c>
      <c r="F10" s="11">
        <v>109</v>
      </c>
      <c r="G10" s="11">
        <v>55</v>
      </c>
      <c r="H10" s="12">
        <f t="shared" si="0"/>
        <v>0.50458715596330272</v>
      </c>
      <c r="I10" s="13"/>
      <c r="J10" s="10" t="s">
        <v>586</v>
      </c>
      <c r="K10" s="15" t="s">
        <v>59</v>
      </c>
      <c r="L10" s="14" t="s">
        <v>587</v>
      </c>
    </row>
    <row r="11" spans="1:12" ht="60.95" customHeight="1" x14ac:dyDescent="0.25">
      <c r="A11" s="2" t="s">
        <v>596</v>
      </c>
      <c r="B11" s="2" t="s">
        <v>60</v>
      </c>
      <c r="C11" s="2" t="s">
        <v>49</v>
      </c>
      <c r="D11" s="2" t="s">
        <v>50</v>
      </c>
      <c r="E11" s="3" t="s">
        <v>591</v>
      </c>
      <c r="F11" s="4">
        <v>144</v>
      </c>
      <c r="G11" s="4">
        <v>63</v>
      </c>
      <c r="H11" s="5">
        <f t="shared" si="0"/>
        <v>0.4375</v>
      </c>
      <c r="I11" s="6"/>
      <c r="J11" s="3" t="s">
        <v>586</v>
      </c>
      <c r="K11" s="8" t="s">
        <v>59</v>
      </c>
      <c r="L11" s="7" t="s">
        <v>587</v>
      </c>
    </row>
    <row r="12" spans="1:12" ht="60.95" customHeight="1" x14ac:dyDescent="0.25">
      <c r="A12" s="9" t="s">
        <v>597</v>
      </c>
      <c r="B12" s="9" t="s">
        <v>60</v>
      </c>
      <c r="C12" s="9" t="s">
        <v>49</v>
      </c>
      <c r="D12" s="9" t="s">
        <v>50</v>
      </c>
      <c r="E12" s="10" t="s">
        <v>593</v>
      </c>
      <c r="F12" s="11">
        <v>148</v>
      </c>
      <c r="G12" s="11">
        <v>69</v>
      </c>
      <c r="H12" s="12">
        <f t="shared" si="0"/>
        <v>0.46621621621621623</v>
      </c>
      <c r="I12" s="13"/>
      <c r="J12" s="10" t="s">
        <v>586</v>
      </c>
      <c r="K12" s="15" t="s">
        <v>59</v>
      </c>
      <c r="L12" s="14" t="s">
        <v>587</v>
      </c>
    </row>
    <row r="13" spans="1:12" ht="60.95" customHeight="1" x14ac:dyDescent="0.25">
      <c r="A13" s="2" t="s">
        <v>598</v>
      </c>
      <c r="B13" s="2" t="s">
        <v>199</v>
      </c>
      <c r="C13" s="2" t="s">
        <v>186</v>
      </c>
      <c r="D13" s="2" t="s">
        <v>50</v>
      </c>
      <c r="E13" s="3" t="s">
        <v>599</v>
      </c>
      <c r="F13" s="4">
        <v>233</v>
      </c>
      <c r="G13" s="4">
        <v>22</v>
      </c>
      <c r="H13" s="5">
        <f t="shared" si="0"/>
        <v>9.4420600858369105E-2</v>
      </c>
      <c r="I13" s="6"/>
      <c r="J13" s="3" t="s">
        <v>586</v>
      </c>
      <c r="K13" s="8" t="s">
        <v>192</v>
      </c>
      <c r="L13" s="7" t="s">
        <v>600</v>
      </c>
    </row>
    <row r="14" spans="1:12" ht="60.95" customHeight="1" x14ac:dyDescent="0.25">
      <c r="A14" s="9" t="s">
        <v>601</v>
      </c>
      <c r="B14" s="9" t="s">
        <v>199</v>
      </c>
      <c r="C14" s="9" t="s">
        <v>186</v>
      </c>
      <c r="D14" s="9" t="s">
        <v>50</v>
      </c>
      <c r="E14" s="10" t="s">
        <v>602</v>
      </c>
      <c r="F14" s="11">
        <v>262</v>
      </c>
      <c r="G14" s="11">
        <v>30</v>
      </c>
      <c r="H14" s="12">
        <f t="shared" si="0"/>
        <v>0.11450381679389313</v>
      </c>
      <c r="I14" s="13"/>
      <c r="J14" s="10" t="s">
        <v>586</v>
      </c>
      <c r="K14" s="15" t="s">
        <v>192</v>
      </c>
      <c r="L14" s="14" t="s">
        <v>600</v>
      </c>
    </row>
    <row r="15" spans="1:12" ht="60.95" customHeight="1" x14ac:dyDescent="0.25">
      <c r="A15" s="2" t="s">
        <v>603</v>
      </c>
      <c r="B15" s="2" t="s">
        <v>199</v>
      </c>
      <c r="C15" s="2" t="s">
        <v>186</v>
      </c>
      <c r="D15" s="2" t="s">
        <v>50</v>
      </c>
      <c r="E15" s="3" t="s">
        <v>604</v>
      </c>
      <c r="F15" s="4">
        <v>442</v>
      </c>
      <c r="G15" s="4">
        <v>44</v>
      </c>
      <c r="H15" s="5">
        <f t="shared" si="0"/>
        <v>9.9547511312217188E-2</v>
      </c>
      <c r="I15" s="6"/>
      <c r="J15" s="3" t="s">
        <v>586</v>
      </c>
      <c r="K15" s="8" t="s">
        <v>192</v>
      </c>
      <c r="L15" s="7" t="s">
        <v>600</v>
      </c>
    </row>
    <row r="16" spans="1:12" ht="60.95" customHeight="1" x14ac:dyDescent="0.25">
      <c r="A16" s="9" t="s">
        <v>605</v>
      </c>
      <c r="B16" s="9" t="s">
        <v>199</v>
      </c>
      <c r="C16" s="9" t="s">
        <v>186</v>
      </c>
      <c r="D16" s="9" t="s">
        <v>50</v>
      </c>
      <c r="E16" s="10" t="s">
        <v>606</v>
      </c>
      <c r="F16" s="11">
        <v>297</v>
      </c>
      <c r="G16" s="11">
        <v>19</v>
      </c>
      <c r="H16" s="12">
        <f t="shared" si="0"/>
        <v>6.3973063973063973E-2</v>
      </c>
      <c r="I16" s="13"/>
      <c r="J16" s="10" t="s">
        <v>586</v>
      </c>
      <c r="K16" s="15" t="s">
        <v>192</v>
      </c>
      <c r="L16" s="14" t="s">
        <v>600</v>
      </c>
    </row>
    <row r="17" spans="1:12" ht="60.95" customHeight="1" x14ac:dyDescent="0.25">
      <c r="A17" s="2" t="s">
        <v>607</v>
      </c>
      <c r="B17" s="2" t="s">
        <v>199</v>
      </c>
      <c r="C17" s="2" t="s">
        <v>186</v>
      </c>
      <c r="D17" s="2" t="s">
        <v>50</v>
      </c>
      <c r="E17" s="3" t="s">
        <v>608</v>
      </c>
      <c r="F17" s="4">
        <v>73</v>
      </c>
      <c r="G17" s="4">
        <v>6</v>
      </c>
      <c r="H17" s="5">
        <f t="shared" si="0"/>
        <v>8.2191780821917804E-2</v>
      </c>
      <c r="I17" s="6"/>
      <c r="J17" s="3" t="s">
        <v>586</v>
      </c>
      <c r="K17" s="8" t="s">
        <v>192</v>
      </c>
      <c r="L17" s="7" t="s">
        <v>600</v>
      </c>
    </row>
    <row r="18" spans="1:12" ht="60.95" customHeight="1" x14ac:dyDescent="0.25">
      <c r="A18" s="9" t="s">
        <v>609</v>
      </c>
      <c r="B18" s="9" t="s">
        <v>211</v>
      </c>
      <c r="C18" s="9" t="s">
        <v>212</v>
      </c>
      <c r="D18" s="9" t="s">
        <v>83</v>
      </c>
      <c r="E18" s="10" t="s">
        <v>610</v>
      </c>
      <c r="F18" s="11">
        <v>260</v>
      </c>
      <c r="G18" s="11">
        <v>92</v>
      </c>
      <c r="H18" s="12">
        <f t="shared" si="0"/>
        <v>0.35384615384615387</v>
      </c>
      <c r="I18" s="13">
        <v>0.35399999999999998</v>
      </c>
      <c r="J18" s="10" t="s">
        <v>346</v>
      </c>
      <c r="K18" s="15" t="s">
        <v>219</v>
      </c>
      <c r="L18" s="14" t="s">
        <v>611</v>
      </c>
    </row>
    <row r="19" spans="1:12" ht="60.95" customHeight="1" x14ac:dyDescent="0.25">
      <c r="A19" s="2" t="s">
        <v>612</v>
      </c>
      <c r="B19" s="2" t="s">
        <v>211</v>
      </c>
      <c r="C19" s="2" t="s">
        <v>212</v>
      </c>
      <c r="D19" s="2" t="s">
        <v>83</v>
      </c>
      <c r="E19" s="3" t="s">
        <v>613</v>
      </c>
      <c r="F19" s="4">
        <v>299</v>
      </c>
      <c r="G19" s="4">
        <v>98</v>
      </c>
      <c r="H19" s="5">
        <f t="shared" si="0"/>
        <v>0.32775919732441472</v>
      </c>
      <c r="I19" s="6">
        <v>0.32800000000000001</v>
      </c>
      <c r="J19" s="3" t="s">
        <v>346</v>
      </c>
      <c r="K19" s="8" t="s">
        <v>219</v>
      </c>
      <c r="L19" s="7" t="s">
        <v>611</v>
      </c>
    </row>
  </sheetData>
  <autoFilter ref="A4:L19" xr:uid="{00000000-0009-0000-0000-000004000000}"/>
  <mergeCells count="2">
    <mergeCell ref="A2:H2"/>
    <mergeCell ref="A1:H1"/>
  </mergeCells>
  <hyperlinks>
    <hyperlink ref="K5" r:id="rId1" xr:uid="{00000000-0004-0000-0400-000000000000}"/>
    <hyperlink ref="K6" r:id="rId2" xr:uid="{00000000-0004-0000-0400-000001000000}"/>
    <hyperlink ref="K7" r:id="rId3" xr:uid="{00000000-0004-0000-0400-000002000000}"/>
    <hyperlink ref="K8" r:id="rId4" xr:uid="{00000000-0004-0000-0400-000003000000}"/>
    <hyperlink ref="K9" r:id="rId5" xr:uid="{00000000-0004-0000-0400-000004000000}"/>
    <hyperlink ref="K10" r:id="rId6" xr:uid="{00000000-0004-0000-0400-000005000000}"/>
    <hyperlink ref="K11" r:id="rId7" xr:uid="{00000000-0004-0000-0400-000006000000}"/>
    <hyperlink ref="K12" r:id="rId8" xr:uid="{00000000-0004-0000-0400-000007000000}"/>
    <hyperlink ref="K13" r:id="rId9" xr:uid="{00000000-0004-0000-0400-000008000000}"/>
    <hyperlink ref="K14" r:id="rId10" xr:uid="{00000000-0004-0000-0400-000009000000}"/>
    <hyperlink ref="K15" r:id="rId11" xr:uid="{00000000-0004-0000-0400-00000A000000}"/>
    <hyperlink ref="K16" r:id="rId12" xr:uid="{00000000-0004-0000-0400-00000B000000}"/>
    <hyperlink ref="K17" r:id="rId13" xr:uid="{00000000-0004-0000-0400-00000C000000}"/>
    <hyperlink ref="K18" r:id="rId14" xr:uid="{00000000-0004-0000-0400-00000D000000}"/>
    <hyperlink ref="K19" r:id="rId15" xr:uid="{00000000-0004-0000-0400-00000E000000}"/>
  </hyperlinks>
  <printOptions horizontalCentered="1"/>
  <pageMargins left="0.75" right="0.75" top="1" bottom="1" header="0.5" footer="0.5"/>
  <pageSetup paperSize="8" fitToHeight="0" orientation="landscape"/>
  <legacy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B73"/>
    <pageSetUpPr fitToPage="1"/>
  </sheetPr>
  <dimension ref="A1:M26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6" customWidth="1"/>
    <col min="3" max="3" width="19" customWidth="1"/>
    <col min="4" max="4" width="58" customWidth="1"/>
    <col min="5" max="5" width="16" customWidth="1"/>
    <col min="6" max="6" width="44" customWidth="1"/>
    <col min="7" max="7" width="30" customWidth="1"/>
    <col min="8" max="9" width="16" customWidth="1"/>
    <col min="10" max="10" width="44" customWidth="1"/>
    <col min="11" max="11" width="58" customWidth="1"/>
    <col min="12" max="13" width="16" customWidth="1"/>
  </cols>
  <sheetData>
    <row r="1" spans="1:13" ht="33" customHeight="1" x14ac:dyDescent="0.4">
      <c r="A1" s="29" t="s">
        <v>614</v>
      </c>
      <c r="B1" s="22"/>
      <c r="C1" s="22"/>
      <c r="D1" s="22"/>
      <c r="E1" s="22"/>
      <c r="F1" s="22"/>
      <c r="G1" s="22"/>
      <c r="H1" s="22"/>
    </row>
    <row r="2" spans="1:13" ht="42" customHeight="1" x14ac:dyDescent="0.25">
      <c r="A2" s="28" t="s">
        <v>615</v>
      </c>
      <c r="B2" s="22"/>
      <c r="C2" s="22"/>
      <c r="D2" s="22"/>
      <c r="E2" s="22"/>
      <c r="F2" s="22"/>
      <c r="G2" s="22"/>
      <c r="H2" s="22"/>
    </row>
    <row r="4" spans="1:13" ht="33.950000000000003" customHeight="1" x14ac:dyDescent="0.25">
      <c r="A4" s="1" t="s">
        <v>31</v>
      </c>
      <c r="B4" s="1" t="s">
        <v>616</v>
      </c>
      <c r="C4" s="1" t="s">
        <v>617</v>
      </c>
      <c r="D4" s="1" t="s">
        <v>618</v>
      </c>
      <c r="E4" s="1" t="s">
        <v>619</v>
      </c>
      <c r="F4" s="1" t="s">
        <v>620</v>
      </c>
      <c r="G4" s="1" t="s">
        <v>298</v>
      </c>
      <c r="H4" s="1" t="s">
        <v>621</v>
      </c>
      <c r="I4" s="1" t="s">
        <v>622</v>
      </c>
      <c r="J4" s="1" t="s">
        <v>623</v>
      </c>
      <c r="K4" s="1" t="s">
        <v>624</v>
      </c>
      <c r="L4" s="1" t="s">
        <v>625</v>
      </c>
      <c r="M4" s="1" t="s">
        <v>626</v>
      </c>
    </row>
    <row r="5" spans="1:13" ht="92.1" customHeight="1" x14ac:dyDescent="0.25">
      <c r="A5" s="2" t="s">
        <v>49</v>
      </c>
      <c r="B5" s="3" t="s">
        <v>627</v>
      </c>
      <c r="C5" s="3">
        <v>2018</v>
      </c>
      <c r="D5" s="3" t="s">
        <v>628</v>
      </c>
      <c r="E5" s="3" t="s">
        <v>629</v>
      </c>
      <c r="F5" s="8" t="s">
        <v>59</v>
      </c>
      <c r="G5" s="3" t="s">
        <v>304</v>
      </c>
      <c r="H5" s="3" t="s">
        <v>630</v>
      </c>
      <c r="I5" s="3" t="s">
        <v>631</v>
      </c>
      <c r="J5" s="3"/>
      <c r="K5" s="7" t="s">
        <v>632</v>
      </c>
      <c r="L5" s="3" t="s">
        <v>633</v>
      </c>
      <c r="M5" s="3" t="s">
        <v>634</v>
      </c>
    </row>
    <row r="6" spans="1:13" ht="92.1" customHeight="1" x14ac:dyDescent="0.25">
      <c r="A6" s="9" t="s">
        <v>64</v>
      </c>
      <c r="B6" s="10" t="s">
        <v>635</v>
      </c>
      <c r="C6" s="10">
        <v>2017</v>
      </c>
      <c r="D6" s="10" t="s">
        <v>636</v>
      </c>
      <c r="E6" s="10" t="s">
        <v>637</v>
      </c>
      <c r="F6" s="15" t="s">
        <v>71</v>
      </c>
      <c r="G6" s="10" t="s">
        <v>304</v>
      </c>
      <c r="H6" s="10" t="s">
        <v>638</v>
      </c>
      <c r="I6" s="10" t="s">
        <v>631</v>
      </c>
      <c r="J6" s="15" t="s">
        <v>639</v>
      </c>
      <c r="K6" s="14"/>
      <c r="L6" s="10" t="s">
        <v>633</v>
      </c>
      <c r="M6" s="10" t="s">
        <v>634</v>
      </c>
    </row>
    <row r="7" spans="1:13" ht="92.1" customHeight="1" x14ac:dyDescent="0.25">
      <c r="A7" s="2" t="s">
        <v>73</v>
      </c>
      <c r="B7" s="3" t="s">
        <v>640</v>
      </c>
      <c r="C7" s="3">
        <v>2020</v>
      </c>
      <c r="D7" s="3" t="s">
        <v>641</v>
      </c>
      <c r="E7" s="3" t="s">
        <v>642</v>
      </c>
      <c r="F7" s="8" t="s">
        <v>80</v>
      </c>
      <c r="G7" s="3" t="s">
        <v>304</v>
      </c>
      <c r="H7" s="3" t="s">
        <v>643</v>
      </c>
      <c r="I7" s="3" t="s">
        <v>631</v>
      </c>
      <c r="J7" s="3"/>
      <c r="K7" s="7"/>
      <c r="L7" s="3" t="s">
        <v>633</v>
      </c>
      <c r="M7" s="3" t="s">
        <v>634</v>
      </c>
    </row>
    <row r="8" spans="1:13" ht="92.1" customHeight="1" x14ac:dyDescent="0.25">
      <c r="A8" s="9" t="s">
        <v>82</v>
      </c>
      <c r="B8" s="10" t="s">
        <v>644</v>
      </c>
      <c r="C8" s="10">
        <v>2020</v>
      </c>
      <c r="D8" s="10" t="s">
        <v>645</v>
      </c>
      <c r="E8" s="10" t="s">
        <v>646</v>
      </c>
      <c r="F8" s="15" t="s">
        <v>89</v>
      </c>
      <c r="G8" s="10" t="s">
        <v>304</v>
      </c>
      <c r="H8" s="10" t="s">
        <v>647</v>
      </c>
      <c r="I8" s="10" t="s">
        <v>631</v>
      </c>
      <c r="J8" s="10"/>
      <c r="K8" s="14"/>
      <c r="L8" s="10" t="s">
        <v>633</v>
      </c>
      <c r="M8" s="10" t="s">
        <v>634</v>
      </c>
    </row>
    <row r="9" spans="1:13" ht="92.1" customHeight="1" x14ac:dyDescent="0.25">
      <c r="A9" s="2" t="s">
        <v>91</v>
      </c>
      <c r="B9" s="3" t="s">
        <v>648</v>
      </c>
      <c r="C9" s="3">
        <v>2021</v>
      </c>
      <c r="D9" s="3" t="s">
        <v>649</v>
      </c>
      <c r="E9" s="3" t="s">
        <v>650</v>
      </c>
      <c r="F9" s="8" t="s">
        <v>99</v>
      </c>
      <c r="G9" s="3" t="s">
        <v>345</v>
      </c>
      <c r="H9" s="3" t="s">
        <v>651</v>
      </c>
      <c r="I9" s="3" t="s">
        <v>631</v>
      </c>
      <c r="J9" s="3"/>
      <c r="K9" s="7" t="s">
        <v>652</v>
      </c>
      <c r="L9" s="3" t="s">
        <v>633</v>
      </c>
      <c r="M9" s="3" t="s">
        <v>634</v>
      </c>
    </row>
    <row r="10" spans="1:13" ht="92.1" customHeight="1" x14ac:dyDescent="0.25">
      <c r="A10" s="9" t="s">
        <v>101</v>
      </c>
      <c r="B10" s="10" t="s">
        <v>653</v>
      </c>
      <c r="C10" s="10">
        <v>2021</v>
      </c>
      <c r="D10" s="10" t="s">
        <v>654</v>
      </c>
      <c r="E10" s="10" t="s">
        <v>655</v>
      </c>
      <c r="F10" s="15" t="s">
        <v>108</v>
      </c>
      <c r="G10" s="10" t="s">
        <v>304</v>
      </c>
      <c r="H10" s="10" t="s">
        <v>656</v>
      </c>
      <c r="I10" s="10" t="s">
        <v>631</v>
      </c>
      <c r="J10" s="10"/>
      <c r="K10" s="14"/>
      <c r="L10" s="10" t="s">
        <v>633</v>
      </c>
      <c r="M10" s="10" t="s">
        <v>634</v>
      </c>
    </row>
    <row r="11" spans="1:13" ht="92.1" customHeight="1" x14ac:dyDescent="0.25">
      <c r="A11" s="2" t="s">
        <v>117</v>
      </c>
      <c r="B11" s="3" t="s">
        <v>657</v>
      </c>
      <c r="C11" s="3">
        <v>2020</v>
      </c>
      <c r="D11" s="3" t="s">
        <v>658</v>
      </c>
      <c r="E11" s="3" t="s">
        <v>659</v>
      </c>
      <c r="F11" s="8" t="s">
        <v>124</v>
      </c>
      <c r="G11" s="3" t="s">
        <v>304</v>
      </c>
      <c r="H11" s="3" t="s">
        <v>660</v>
      </c>
      <c r="I11" s="3" t="s">
        <v>631</v>
      </c>
      <c r="J11" s="3"/>
      <c r="K11" s="7" t="s">
        <v>661</v>
      </c>
      <c r="L11" s="3" t="s">
        <v>633</v>
      </c>
      <c r="M11" s="3" t="s">
        <v>634</v>
      </c>
    </row>
    <row r="12" spans="1:13" ht="92.1" customHeight="1" x14ac:dyDescent="0.25">
      <c r="A12" s="9" t="s">
        <v>126</v>
      </c>
      <c r="B12" s="10" t="s">
        <v>662</v>
      </c>
      <c r="C12" s="10">
        <v>2022</v>
      </c>
      <c r="D12" s="10" t="s">
        <v>663</v>
      </c>
      <c r="E12" s="10" t="s">
        <v>664</v>
      </c>
      <c r="F12" s="15" t="s">
        <v>134</v>
      </c>
      <c r="G12" s="10" t="s">
        <v>359</v>
      </c>
      <c r="H12" s="10" t="s">
        <v>665</v>
      </c>
      <c r="I12" s="10" t="s">
        <v>631</v>
      </c>
      <c r="J12" s="10"/>
      <c r="K12" s="14"/>
      <c r="L12" s="10" t="s">
        <v>633</v>
      </c>
      <c r="M12" s="10" t="s">
        <v>634</v>
      </c>
    </row>
    <row r="13" spans="1:13" ht="92.1" customHeight="1" x14ac:dyDescent="0.25">
      <c r="A13" s="2" t="s">
        <v>140</v>
      </c>
      <c r="B13" s="3" t="s">
        <v>666</v>
      </c>
      <c r="C13" s="3">
        <v>2021</v>
      </c>
      <c r="D13" s="3" t="s">
        <v>667</v>
      </c>
      <c r="E13" s="3" t="s">
        <v>668</v>
      </c>
      <c r="F13" s="8" t="s">
        <v>146</v>
      </c>
      <c r="G13" s="3" t="s">
        <v>304</v>
      </c>
      <c r="H13" s="3"/>
      <c r="I13" s="3" t="s">
        <v>631</v>
      </c>
      <c r="J13" s="3"/>
      <c r="K13" s="7" t="s">
        <v>669</v>
      </c>
      <c r="L13" s="3" t="s">
        <v>633</v>
      </c>
      <c r="M13" s="3" t="s">
        <v>634</v>
      </c>
    </row>
    <row r="14" spans="1:13" ht="92.1" customHeight="1" x14ac:dyDescent="0.25">
      <c r="A14" s="9" t="s">
        <v>148</v>
      </c>
      <c r="B14" s="10" t="s">
        <v>648</v>
      </c>
      <c r="C14" s="10">
        <v>2023</v>
      </c>
      <c r="D14" s="10" t="s">
        <v>670</v>
      </c>
      <c r="E14" s="10" t="s">
        <v>671</v>
      </c>
      <c r="F14" s="15" t="s">
        <v>154</v>
      </c>
      <c r="G14" s="10" t="s">
        <v>304</v>
      </c>
      <c r="H14" s="10"/>
      <c r="I14" s="10" t="s">
        <v>631</v>
      </c>
      <c r="J14" s="10"/>
      <c r="K14" s="14" t="s">
        <v>672</v>
      </c>
      <c r="L14" s="10" t="s">
        <v>633</v>
      </c>
      <c r="M14" s="10" t="s">
        <v>634</v>
      </c>
    </row>
    <row r="15" spans="1:13" ht="92.1" customHeight="1" x14ac:dyDescent="0.25">
      <c r="A15" s="2" t="s">
        <v>156</v>
      </c>
      <c r="B15" s="3" t="s">
        <v>673</v>
      </c>
      <c r="C15" s="3">
        <v>2025</v>
      </c>
      <c r="D15" s="3" t="s">
        <v>674</v>
      </c>
      <c r="E15" s="3" t="s">
        <v>675</v>
      </c>
      <c r="F15" s="8" t="s">
        <v>163</v>
      </c>
      <c r="G15" s="3" t="s">
        <v>304</v>
      </c>
      <c r="H15" s="3"/>
      <c r="I15" s="3" t="s">
        <v>631</v>
      </c>
      <c r="J15" s="3"/>
      <c r="K15" s="7"/>
      <c r="L15" s="3" t="s">
        <v>633</v>
      </c>
      <c r="M15" s="3" t="s">
        <v>634</v>
      </c>
    </row>
    <row r="16" spans="1:13" ht="92.1" customHeight="1" x14ac:dyDescent="0.25">
      <c r="A16" s="9" t="s">
        <v>165</v>
      </c>
      <c r="B16" s="10" t="s">
        <v>676</v>
      </c>
      <c r="C16" s="10">
        <v>2018</v>
      </c>
      <c r="D16" s="10" t="s">
        <v>677</v>
      </c>
      <c r="E16" s="10" t="s">
        <v>678</v>
      </c>
      <c r="F16" s="15" t="s">
        <v>172</v>
      </c>
      <c r="G16" s="10" t="s">
        <v>345</v>
      </c>
      <c r="H16" s="10"/>
      <c r="I16" s="10" t="s">
        <v>631</v>
      </c>
      <c r="J16" s="10"/>
      <c r="K16" s="14"/>
      <c r="L16" s="10" t="s">
        <v>633</v>
      </c>
      <c r="M16" s="10" t="s">
        <v>634</v>
      </c>
    </row>
    <row r="17" spans="1:13" ht="92.1" customHeight="1" x14ac:dyDescent="0.25">
      <c r="A17" s="2" t="s">
        <v>179</v>
      </c>
      <c r="B17" s="3" t="s">
        <v>679</v>
      </c>
      <c r="C17" s="3">
        <v>2022</v>
      </c>
      <c r="D17" s="3" t="s">
        <v>680</v>
      </c>
      <c r="E17" s="3" t="s">
        <v>681</v>
      </c>
      <c r="F17" s="8" t="s">
        <v>184</v>
      </c>
      <c r="G17" s="3" t="s">
        <v>345</v>
      </c>
      <c r="H17" s="3"/>
      <c r="I17" s="3" t="s">
        <v>631</v>
      </c>
      <c r="J17" s="3"/>
      <c r="K17" s="7"/>
      <c r="L17" s="3" t="s">
        <v>633</v>
      </c>
      <c r="M17" s="3" t="s">
        <v>634</v>
      </c>
    </row>
    <row r="18" spans="1:13" ht="92.1" customHeight="1" x14ac:dyDescent="0.25">
      <c r="A18" s="9" t="s">
        <v>186</v>
      </c>
      <c r="B18" s="10" t="s">
        <v>682</v>
      </c>
      <c r="C18" s="10">
        <v>2025</v>
      </c>
      <c r="D18" s="10" t="s">
        <v>683</v>
      </c>
      <c r="E18" s="10" t="s">
        <v>684</v>
      </c>
      <c r="F18" s="15" t="s">
        <v>192</v>
      </c>
      <c r="G18" s="10" t="s">
        <v>359</v>
      </c>
      <c r="H18" s="10"/>
      <c r="I18" s="10" t="s">
        <v>631</v>
      </c>
      <c r="J18" s="15" t="s">
        <v>685</v>
      </c>
      <c r="K18" s="14" t="s">
        <v>686</v>
      </c>
      <c r="L18" s="10" t="s">
        <v>633</v>
      </c>
      <c r="M18" s="10" t="s">
        <v>634</v>
      </c>
    </row>
    <row r="19" spans="1:13" ht="92.1" customHeight="1" x14ac:dyDescent="0.25">
      <c r="A19" s="2" t="s">
        <v>203</v>
      </c>
      <c r="B19" s="3" t="s">
        <v>687</v>
      </c>
      <c r="C19" s="3">
        <v>2025</v>
      </c>
      <c r="D19" s="3" t="s">
        <v>688</v>
      </c>
      <c r="E19" s="3" t="s">
        <v>689</v>
      </c>
      <c r="F19" s="8" t="s">
        <v>210</v>
      </c>
      <c r="G19" s="3" t="s">
        <v>359</v>
      </c>
      <c r="H19" s="3"/>
      <c r="I19" s="3" t="s">
        <v>631</v>
      </c>
      <c r="J19" s="3"/>
      <c r="K19" s="7" t="s">
        <v>690</v>
      </c>
      <c r="L19" s="3" t="s">
        <v>633</v>
      </c>
      <c r="M19" s="3" t="s">
        <v>634</v>
      </c>
    </row>
    <row r="20" spans="1:13" ht="92.1" customHeight="1" x14ac:dyDescent="0.25">
      <c r="A20" s="9" t="s">
        <v>212</v>
      </c>
      <c r="B20" s="10" t="s">
        <v>691</v>
      </c>
      <c r="C20" s="10">
        <v>2026</v>
      </c>
      <c r="D20" s="10" t="s">
        <v>692</v>
      </c>
      <c r="E20" s="10" t="s">
        <v>693</v>
      </c>
      <c r="F20" s="15" t="s">
        <v>219</v>
      </c>
      <c r="G20" s="10" t="s">
        <v>345</v>
      </c>
      <c r="H20" s="10"/>
      <c r="I20" s="10" t="s">
        <v>631</v>
      </c>
      <c r="J20" s="10"/>
      <c r="K20" s="14" t="s">
        <v>694</v>
      </c>
      <c r="L20" s="10" t="s">
        <v>633</v>
      </c>
      <c r="M20" s="10" t="s">
        <v>634</v>
      </c>
    </row>
    <row r="21" spans="1:13" ht="92.1" customHeight="1" x14ac:dyDescent="0.25">
      <c r="A21" s="2" t="s">
        <v>223</v>
      </c>
      <c r="B21" s="3" t="s">
        <v>695</v>
      </c>
      <c r="C21" s="3">
        <v>2023</v>
      </c>
      <c r="D21" s="3" t="s">
        <v>696</v>
      </c>
      <c r="E21" s="3" t="s">
        <v>697</v>
      </c>
      <c r="F21" s="8" t="s">
        <v>232</v>
      </c>
      <c r="G21" s="3" t="s">
        <v>345</v>
      </c>
      <c r="H21" s="3"/>
      <c r="I21" s="3" t="s">
        <v>631</v>
      </c>
      <c r="J21" s="3"/>
      <c r="K21" s="7"/>
      <c r="L21" s="3" t="s">
        <v>633</v>
      </c>
      <c r="M21" s="3" t="s">
        <v>634</v>
      </c>
    </row>
    <row r="22" spans="1:13" ht="92.1" customHeight="1" x14ac:dyDescent="0.25">
      <c r="A22" s="9" t="s">
        <v>234</v>
      </c>
      <c r="B22" s="10" t="s">
        <v>698</v>
      </c>
      <c r="C22" s="10">
        <v>2023</v>
      </c>
      <c r="D22" s="10" t="s">
        <v>699</v>
      </c>
      <c r="E22" s="10" t="s">
        <v>700</v>
      </c>
      <c r="F22" s="15" t="s">
        <v>241</v>
      </c>
      <c r="G22" s="10" t="s">
        <v>345</v>
      </c>
      <c r="H22" s="10"/>
      <c r="I22" s="10" t="s">
        <v>631</v>
      </c>
      <c r="J22" s="10"/>
      <c r="K22" s="14" t="s">
        <v>701</v>
      </c>
      <c r="L22" s="10" t="s">
        <v>633</v>
      </c>
      <c r="M22" s="10" t="s">
        <v>634</v>
      </c>
    </row>
    <row r="23" spans="1:13" ht="92.1" customHeight="1" x14ac:dyDescent="0.25">
      <c r="A23" s="2" t="s">
        <v>243</v>
      </c>
      <c r="B23" s="3" t="s">
        <v>702</v>
      </c>
      <c r="C23" s="3">
        <v>2025</v>
      </c>
      <c r="D23" s="3" t="s">
        <v>703</v>
      </c>
      <c r="E23" s="3" t="s">
        <v>704</v>
      </c>
      <c r="F23" s="8" t="s">
        <v>250</v>
      </c>
      <c r="G23" s="3" t="s">
        <v>345</v>
      </c>
      <c r="H23" s="3"/>
      <c r="I23" s="3" t="s">
        <v>631</v>
      </c>
      <c r="J23" s="3"/>
      <c r="K23" s="7"/>
      <c r="L23" s="3" t="s">
        <v>633</v>
      </c>
      <c r="M23" s="3" t="s">
        <v>634</v>
      </c>
    </row>
    <row r="24" spans="1:13" ht="92.1" customHeight="1" x14ac:dyDescent="0.25">
      <c r="A24" s="9" t="s">
        <v>252</v>
      </c>
      <c r="B24" s="10" t="s">
        <v>705</v>
      </c>
      <c r="C24" s="10">
        <v>2024</v>
      </c>
      <c r="D24" s="10" t="s">
        <v>706</v>
      </c>
      <c r="E24" s="10" t="s">
        <v>707</v>
      </c>
      <c r="F24" s="15" t="s">
        <v>259</v>
      </c>
      <c r="G24" s="10" t="s">
        <v>304</v>
      </c>
      <c r="H24" s="10"/>
      <c r="I24" s="10" t="s">
        <v>631</v>
      </c>
      <c r="J24" s="10"/>
      <c r="K24" s="14" t="s">
        <v>708</v>
      </c>
      <c r="L24" s="10" t="s">
        <v>633</v>
      </c>
      <c r="M24" s="10" t="s">
        <v>634</v>
      </c>
    </row>
    <row r="25" spans="1:13" ht="92.1" customHeight="1" x14ac:dyDescent="0.25">
      <c r="A25" s="2" t="s">
        <v>274</v>
      </c>
      <c r="B25" s="3" t="s">
        <v>709</v>
      </c>
      <c r="C25" s="3">
        <v>2024</v>
      </c>
      <c r="D25" s="3" t="s">
        <v>710</v>
      </c>
      <c r="E25" s="3" t="s">
        <v>711</v>
      </c>
      <c r="F25" s="8" t="s">
        <v>282</v>
      </c>
      <c r="G25" s="3" t="s">
        <v>345</v>
      </c>
      <c r="H25" s="3"/>
      <c r="I25" s="3" t="s">
        <v>631</v>
      </c>
      <c r="J25" s="3"/>
      <c r="K25" s="7" t="s">
        <v>712</v>
      </c>
      <c r="L25" s="3" t="s">
        <v>633</v>
      </c>
      <c r="M25" s="3" t="s">
        <v>634</v>
      </c>
    </row>
    <row r="26" spans="1:13" ht="92.1" customHeight="1" x14ac:dyDescent="0.25">
      <c r="A26" s="9" t="s">
        <v>284</v>
      </c>
      <c r="B26" s="10" t="s">
        <v>713</v>
      </c>
      <c r="C26" s="10">
        <v>2026</v>
      </c>
      <c r="D26" s="10" t="s">
        <v>714</v>
      </c>
      <c r="E26" s="10" t="s">
        <v>715</v>
      </c>
      <c r="F26" s="15" t="s">
        <v>291</v>
      </c>
      <c r="G26" s="10" t="s">
        <v>359</v>
      </c>
      <c r="H26" s="10"/>
      <c r="I26" s="10" t="s">
        <v>631</v>
      </c>
      <c r="J26" s="10"/>
      <c r="K26" s="14" t="s">
        <v>716</v>
      </c>
      <c r="L26" s="10" t="s">
        <v>633</v>
      </c>
      <c r="M26" s="10" t="s">
        <v>634</v>
      </c>
    </row>
  </sheetData>
  <autoFilter ref="A4:M26" xr:uid="{00000000-0009-0000-0000-000005000000}"/>
  <mergeCells count="2">
    <mergeCell ref="A2:H2"/>
    <mergeCell ref="A1:H1"/>
  </mergeCells>
  <hyperlinks>
    <hyperlink ref="F5" r:id="rId1" xr:uid="{00000000-0004-0000-0500-000000000000}"/>
    <hyperlink ref="F6" r:id="rId2" xr:uid="{00000000-0004-0000-0500-000001000000}"/>
    <hyperlink ref="J6" r:id="rId3" xr:uid="{00000000-0004-0000-0500-000002000000}"/>
    <hyperlink ref="F7" r:id="rId4" xr:uid="{00000000-0004-0000-0500-000003000000}"/>
    <hyperlink ref="F8" r:id="rId5" xr:uid="{00000000-0004-0000-0500-000004000000}"/>
    <hyperlink ref="F9" r:id="rId6" xr:uid="{00000000-0004-0000-0500-000005000000}"/>
    <hyperlink ref="F10" r:id="rId7" xr:uid="{00000000-0004-0000-0500-000006000000}"/>
    <hyperlink ref="F11" r:id="rId8" xr:uid="{00000000-0004-0000-0500-000007000000}"/>
    <hyperlink ref="F12" r:id="rId9" xr:uid="{00000000-0004-0000-0500-000008000000}"/>
    <hyperlink ref="F13" r:id="rId10" xr:uid="{00000000-0004-0000-0500-000009000000}"/>
    <hyperlink ref="F14" r:id="rId11" xr:uid="{00000000-0004-0000-0500-00000A000000}"/>
    <hyperlink ref="F15" r:id="rId12" xr:uid="{00000000-0004-0000-0500-00000B000000}"/>
    <hyperlink ref="F16" r:id="rId13" xr:uid="{00000000-0004-0000-0500-00000C000000}"/>
    <hyperlink ref="F17" r:id="rId14" xr:uid="{00000000-0004-0000-0500-00000D000000}"/>
    <hyperlink ref="F18" r:id="rId15" xr:uid="{00000000-0004-0000-0500-00000E000000}"/>
    <hyperlink ref="J18" r:id="rId16" xr:uid="{00000000-0004-0000-0500-00000F000000}"/>
    <hyperlink ref="F19" r:id="rId17" xr:uid="{00000000-0004-0000-0500-000010000000}"/>
    <hyperlink ref="F20" r:id="rId18" xr:uid="{00000000-0004-0000-0500-000011000000}"/>
    <hyperlink ref="F21" r:id="rId19" xr:uid="{00000000-0004-0000-0500-000012000000}"/>
    <hyperlink ref="F22" r:id="rId20" xr:uid="{00000000-0004-0000-0500-000013000000}"/>
    <hyperlink ref="F23" r:id="rId21" xr:uid="{00000000-0004-0000-0500-000014000000}"/>
    <hyperlink ref="F24" r:id="rId22" xr:uid="{00000000-0004-0000-0500-000015000000}"/>
    <hyperlink ref="F25" r:id="rId23" xr:uid="{00000000-0004-0000-0500-000016000000}"/>
    <hyperlink ref="F26" r:id="rId24" xr:uid="{00000000-0004-0000-0500-000017000000}"/>
  </hyperlinks>
  <printOptions horizontalCentered="1"/>
  <pageMargins left="0.75" right="0.75" top="1" bottom="1" header="0.5" footer="0.5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6B73"/>
    <pageSetUpPr fitToPage="1"/>
  </sheetPr>
  <dimension ref="A1:H16"/>
  <sheetViews>
    <sheetView showGridLines="0" tabSelected="1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6" customWidth="1"/>
    <col min="4" max="4" width="30" customWidth="1"/>
    <col min="5" max="5" width="16" customWidth="1"/>
    <col min="6" max="7" width="44" customWidth="1"/>
    <col min="8" max="8" width="58" customWidth="1"/>
  </cols>
  <sheetData>
    <row r="1" spans="1:8" ht="33" customHeight="1" x14ac:dyDescent="0.4">
      <c r="A1" s="29" t="s">
        <v>717</v>
      </c>
      <c r="B1" s="22"/>
      <c r="C1" s="22"/>
      <c r="D1" s="22"/>
      <c r="E1" s="22"/>
      <c r="F1" s="22"/>
      <c r="G1" s="22"/>
      <c r="H1" s="22"/>
    </row>
    <row r="2" spans="1:8" ht="42" customHeight="1" x14ac:dyDescent="0.25">
      <c r="A2" s="28" t="s">
        <v>718</v>
      </c>
      <c r="B2" s="22"/>
      <c r="C2" s="22"/>
      <c r="D2" s="22"/>
      <c r="E2" s="22"/>
      <c r="F2" s="22"/>
      <c r="G2" s="22"/>
      <c r="H2" s="22"/>
    </row>
    <row r="4" spans="1:8" ht="33.950000000000003" customHeight="1" x14ac:dyDescent="0.25">
      <c r="A4" s="1" t="s">
        <v>719</v>
      </c>
      <c r="B4" s="1" t="s">
        <v>720</v>
      </c>
      <c r="C4" s="1" t="s">
        <v>31</v>
      </c>
      <c r="D4" s="1" t="s">
        <v>721</v>
      </c>
      <c r="E4" s="1" t="s">
        <v>722</v>
      </c>
      <c r="F4" s="1" t="s">
        <v>723</v>
      </c>
      <c r="G4" s="1" t="s">
        <v>724</v>
      </c>
      <c r="H4" s="1" t="s">
        <v>725</v>
      </c>
    </row>
    <row r="5" spans="1:8" ht="92.1" customHeight="1" x14ac:dyDescent="0.25">
      <c r="A5" s="3" t="s">
        <v>726</v>
      </c>
      <c r="B5" s="3" t="s">
        <v>727</v>
      </c>
      <c r="C5" s="2" t="s">
        <v>49</v>
      </c>
      <c r="D5" s="3" t="s">
        <v>728</v>
      </c>
      <c r="E5" s="3" t="s">
        <v>630</v>
      </c>
      <c r="F5" s="8" t="s">
        <v>729</v>
      </c>
      <c r="G5" s="8" t="s">
        <v>59</v>
      </c>
      <c r="H5" s="7" t="s">
        <v>730</v>
      </c>
    </row>
    <row r="6" spans="1:8" ht="92.1" customHeight="1" x14ac:dyDescent="0.25">
      <c r="A6" s="10" t="s">
        <v>726</v>
      </c>
      <c r="B6" s="10" t="s">
        <v>727</v>
      </c>
      <c r="C6" s="9" t="s">
        <v>64</v>
      </c>
      <c r="D6" s="10" t="s">
        <v>728</v>
      </c>
      <c r="E6" s="10" t="s">
        <v>638</v>
      </c>
      <c r="F6" s="15" t="s">
        <v>729</v>
      </c>
      <c r="G6" s="15" t="s">
        <v>71</v>
      </c>
      <c r="H6" s="14" t="s">
        <v>730</v>
      </c>
    </row>
    <row r="7" spans="1:8" ht="92.1" customHeight="1" x14ac:dyDescent="0.25">
      <c r="A7" s="3" t="s">
        <v>726</v>
      </c>
      <c r="B7" s="3" t="s">
        <v>727</v>
      </c>
      <c r="C7" s="2" t="s">
        <v>73</v>
      </c>
      <c r="D7" s="3" t="s">
        <v>728</v>
      </c>
      <c r="E7" s="3" t="s">
        <v>643</v>
      </c>
      <c r="F7" s="8" t="s">
        <v>729</v>
      </c>
      <c r="G7" s="8" t="s">
        <v>80</v>
      </c>
      <c r="H7" s="7" t="s">
        <v>730</v>
      </c>
    </row>
    <row r="8" spans="1:8" ht="92.1" customHeight="1" x14ac:dyDescent="0.25">
      <c r="A8" s="10" t="s">
        <v>726</v>
      </c>
      <c r="B8" s="10" t="s">
        <v>727</v>
      </c>
      <c r="C8" s="9" t="s">
        <v>82</v>
      </c>
      <c r="D8" s="10" t="s">
        <v>728</v>
      </c>
      <c r="E8" s="10" t="s">
        <v>647</v>
      </c>
      <c r="F8" s="15" t="s">
        <v>729</v>
      </c>
      <c r="G8" s="15" t="s">
        <v>89</v>
      </c>
      <c r="H8" s="14" t="s">
        <v>730</v>
      </c>
    </row>
    <row r="9" spans="1:8" ht="92.1" customHeight="1" x14ac:dyDescent="0.25">
      <c r="A9" s="3" t="s">
        <v>726</v>
      </c>
      <c r="B9" s="3" t="s">
        <v>727</v>
      </c>
      <c r="C9" s="2" t="s">
        <v>91</v>
      </c>
      <c r="D9" s="3" t="s">
        <v>728</v>
      </c>
      <c r="E9" s="3" t="s">
        <v>651</v>
      </c>
      <c r="F9" s="8" t="s">
        <v>729</v>
      </c>
      <c r="G9" s="8" t="s">
        <v>99</v>
      </c>
      <c r="H9" s="7" t="s">
        <v>730</v>
      </c>
    </row>
    <row r="10" spans="1:8" ht="92.1" customHeight="1" x14ac:dyDescent="0.25">
      <c r="A10" s="10" t="s">
        <v>726</v>
      </c>
      <c r="B10" s="10" t="s">
        <v>727</v>
      </c>
      <c r="C10" s="9" t="s">
        <v>101</v>
      </c>
      <c r="D10" s="10" t="s">
        <v>728</v>
      </c>
      <c r="E10" s="10" t="s">
        <v>656</v>
      </c>
      <c r="F10" s="15" t="s">
        <v>729</v>
      </c>
      <c r="G10" s="15" t="s">
        <v>108</v>
      </c>
      <c r="H10" s="14" t="s">
        <v>730</v>
      </c>
    </row>
    <row r="11" spans="1:8" ht="92.1" customHeight="1" x14ac:dyDescent="0.25">
      <c r="A11" s="3" t="s">
        <v>726</v>
      </c>
      <c r="B11" s="3" t="s">
        <v>727</v>
      </c>
      <c r="C11" s="2" t="s">
        <v>117</v>
      </c>
      <c r="D11" s="3" t="s">
        <v>728</v>
      </c>
      <c r="E11" s="3" t="s">
        <v>660</v>
      </c>
      <c r="F11" s="8" t="s">
        <v>729</v>
      </c>
      <c r="G11" s="8" t="s">
        <v>124</v>
      </c>
      <c r="H11" s="7" t="s">
        <v>730</v>
      </c>
    </row>
    <row r="12" spans="1:8" ht="92.1" customHeight="1" x14ac:dyDescent="0.25">
      <c r="A12" s="10" t="s">
        <v>726</v>
      </c>
      <c r="B12" s="10" t="s">
        <v>727</v>
      </c>
      <c r="C12" s="9" t="s">
        <v>126</v>
      </c>
      <c r="D12" s="10" t="s">
        <v>728</v>
      </c>
      <c r="E12" s="10" t="s">
        <v>665</v>
      </c>
      <c r="F12" s="15" t="s">
        <v>729</v>
      </c>
      <c r="G12" s="15" t="s">
        <v>134</v>
      </c>
      <c r="H12" s="14" t="s">
        <v>730</v>
      </c>
    </row>
    <row r="13" spans="1:8" ht="92.1" customHeight="1" x14ac:dyDescent="0.25">
      <c r="A13" s="3" t="s">
        <v>731</v>
      </c>
      <c r="B13" s="3" t="s">
        <v>732</v>
      </c>
      <c r="C13" s="2"/>
      <c r="D13" s="3" t="s">
        <v>733</v>
      </c>
      <c r="E13" s="3"/>
      <c r="F13" s="8" t="s">
        <v>734</v>
      </c>
      <c r="G13" s="8" t="s">
        <v>735</v>
      </c>
      <c r="H13" s="7" t="s">
        <v>736</v>
      </c>
    </row>
    <row r="14" spans="1:8" ht="92.1" customHeight="1" x14ac:dyDescent="0.25">
      <c r="A14" s="10" t="s">
        <v>731</v>
      </c>
      <c r="B14" s="10" t="s">
        <v>732</v>
      </c>
      <c r="C14" s="9"/>
      <c r="D14" s="10" t="s">
        <v>737</v>
      </c>
      <c r="E14" s="10"/>
      <c r="F14" s="15" t="s">
        <v>738</v>
      </c>
      <c r="G14" s="10"/>
      <c r="H14" s="14" t="s">
        <v>739</v>
      </c>
    </row>
    <row r="15" spans="1:8" ht="92.1" customHeight="1" x14ac:dyDescent="0.25">
      <c r="A15" s="3" t="s">
        <v>726</v>
      </c>
      <c r="B15" s="3" t="s">
        <v>727</v>
      </c>
      <c r="C15" s="2"/>
      <c r="D15" s="3" t="s">
        <v>740</v>
      </c>
      <c r="E15" s="3"/>
      <c r="F15" s="8" t="s">
        <v>741</v>
      </c>
      <c r="G15" s="8" t="s">
        <v>742</v>
      </c>
      <c r="H15" s="7" t="s">
        <v>743</v>
      </c>
    </row>
    <row r="16" spans="1:8" ht="92.1" customHeight="1" x14ac:dyDescent="0.25">
      <c r="A16" s="10" t="s">
        <v>744</v>
      </c>
      <c r="B16" s="10" t="s">
        <v>745</v>
      </c>
      <c r="C16" s="9"/>
      <c r="D16" s="10" t="s">
        <v>746</v>
      </c>
      <c r="E16" s="10"/>
      <c r="F16" s="15" t="s">
        <v>747</v>
      </c>
      <c r="G16" s="15" t="s">
        <v>748</v>
      </c>
      <c r="H16" s="14" t="s">
        <v>749</v>
      </c>
    </row>
  </sheetData>
  <autoFilter ref="A4:H16" xr:uid="{00000000-0009-0000-0000-000006000000}"/>
  <mergeCells count="2">
    <mergeCell ref="A2:H2"/>
    <mergeCell ref="A1:H1"/>
  </mergeCells>
  <hyperlinks>
    <hyperlink ref="F5" r:id="rId1" xr:uid="{00000000-0004-0000-0600-000000000000}"/>
    <hyperlink ref="G5" r:id="rId2" xr:uid="{00000000-0004-0000-0600-000001000000}"/>
    <hyperlink ref="F6" r:id="rId3" xr:uid="{00000000-0004-0000-0600-000002000000}"/>
    <hyperlink ref="G6" r:id="rId4" xr:uid="{00000000-0004-0000-0600-000003000000}"/>
    <hyperlink ref="F7" r:id="rId5" xr:uid="{00000000-0004-0000-0600-000004000000}"/>
    <hyperlink ref="G7" r:id="rId6" xr:uid="{00000000-0004-0000-0600-000005000000}"/>
    <hyperlink ref="F8" r:id="rId7" xr:uid="{00000000-0004-0000-0600-000006000000}"/>
    <hyperlink ref="G8" r:id="rId8" xr:uid="{00000000-0004-0000-0600-000007000000}"/>
    <hyperlink ref="F9" r:id="rId9" xr:uid="{00000000-0004-0000-0600-000008000000}"/>
    <hyperlink ref="G9" r:id="rId10" xr:uid="{00000000-0004-0000-0600-000009000000}"/>
    <hyperlink ref="F10" r:id="rId11" xr:uid="{00000000-0004-0000-0600-00000A000000}"/>
    <hyperlink ref="G10" r:id="rId12" xr:uid="{00000000-0004-0000-0600-00000B000000}"/>
    <hyperlink ref="F11" r:id="rId13" xr:uid="{00000000-0004-0000-0600-00000C000000}"/>
    <hyperlink ref="G11" r:id="rId14" xr:uid="{00000000-0004-0000-0600-00000D000000}"/>
    <hyperlink ref="F12" r:id="rId15" xr:uid="{00000000-0004-0000-0600-00000E000000}"/>
    <hyperlink ref="G12" r:id="rId16" xr:uid="{00000000-0004-0000-0600-00000F000000}"/>
    <hyperlink ref="F13" r:id="rId17" xr:uid="{00000000-0004-0000-0600-000010000000}"/>
    <hyperlink ref="G13" r:id="rId18" xr:uid="{00000000-0004-0000-0600-000011000000}"/>
    <hyperlink ref="F14" r:id="rId19" xr:uid="{00000000-0004-0000-0600-000012000000}"/>
    <hyperlink ref="F15" r:id="rId20" xr:uid="{00000000-0004-0000-0600-000013000000}"/>
    <hyperlink ref="G15" r:id="rId21" xr:uid="{00000000-0004-0000-0600-000014000000}"/>
    <hyperlink ref="F16" r:id="rId22" xr:uid="{00000000-0004-0000-0600-000015000000}"/>
    <hyperlink ref="G16" r:id="rId23" xr:uid="{00000000-0004-0000-0600-000016000000}"/>
  </hyperlinks>
  <printOptions horizontalCentered="1"/>
  <pageMargins left="0.75" right="0.75" top="1" bottom="1" header="0.5" footer="0.5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6B73"/>
    <pageSetUpPr fitToPage="1"/>
  </sheetPr>
  <dimension ref="A1:I31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8" width="16" customWidth="1"/>
    <col min="9" max="9" width="58" customWidth="1"/>
  </cols>
  <sheetData>
    <row r="1" spans="1:9" ht="33" customHeight="1" x14ac:dyDescent="0.4">
      <c r="A1" s="29" t="s">
        <v>750</v>
      </c>
      <c r="B1" s="22"/>
      <c r="C1" s="22"/>
      <c r="D1" s="22"/>
      <c r="E1" s="22"/>
      <c r="F1" s="22"/>
      <c r="G1" s="22"/>
      <c r="H1" s="22"/>
    </row>
    <row r="2" spans="1:9" ht="42" customHeight="1" x14ac:dyDescent="0.25">
      <c r="A2" s="28" t="s">
        <v>751</v>
      </c>
      <c r="B2" s="22"/>
      <c r="C2" s="22"/>
      <c r="D2" s="22"/>
      <c r="E2" s="22"/>
      <c r="F2" s="22"/>
      <c r="G2" s="22"/>
      <c r="H2" s="22"/>
    </row>
    <row r="4" spans="1:9" ht="33.950000000000003" customHeight="1" x14ac:dyDescent="0.25">
      <c r="A4" s="1" t="s">
        <v>32</v>
      </c>
      <c r="B4" s="1" t="s">
        <v>752</v>
      </c>
      <c r="C4" s="1" t="s">
        <v>753</v>
      </c>
      <c r="D4" s="1" t="s">
        <v>754</v>
      </c>
      <c r="E4" s="1" t="s">
        <v>755</v>
      </c>
      <c r="F4" s="1" t="s">
        <v>756</v>
      </c>
      <c r="G4" s="1" t="s">
        <v>757</v>
      </c>
      <c r="H4" s="1" t="s">
        <v>758</v>
      </c>
      <c r="I4" s="1" t="s">
        <v>759</v>
      </c>
    </row>
    <row r="5" spans="1:9" ht="60.95" customHeight="1" x14ac:dyDescent="0.25">
      <c r="A5" s="2" t="s">
        <v>127</v>
      </c>
      <c r="B5" s="3" t="s">
        <v>760</v>
      </c>
      <c r="C5" s="3" t="s">
        <v>761</v>
      </c>
      <c r="D5" s="17">
        <f>COUNTIF(UF_source_links!$A$5:$A$28,A5)</f>
        <v>1</v>
      </c>
      <c r="E5" s="17">
        <f>COUNTIF(Survey_units!$C$5:$C$40,A5)</f>
        <v>2</v>
      </c>
      <c r="F5" s="17">
        <f>COUNTIFS(Survey_units!$C$5:$C$40,A5,Survey_units!$N$5:$N$40,"LOCAL_POPULATION_PRIORITY")</f>
        <v>0</v>
      </c>
      <c r="G5" s="3" t="s">
        <v>762</v>
      </c>
      <c r="H5" s="3" t="s">
        <v>126</v>
      </c>
      <c r="I5" s="3" t="s">
        <v>763</v>
      </c>
    </row>
    <row r="6" spans="1:9" ht="60.95" customHeight="1" x14ac:dyDescent="0.25">
      <c r="A6" s="9" t="s">
        <v>764</v>
      </c>
      <c r="B6" s="10" t="s">
        <v>765</v>
      </c>
      <c r="C6" s="10" t="s">
        <v>766</v>
      </c>
      <c r="D6" s="18">
        <f>COUNTIF(UF_source_links!$A$5:$A$28,A6)</f>
        <v>0</v>
      </c>
      <c r="E6" s="18">
        <f>COUNTIF(Survey_units!$C$5:$C$40,A6)</f>
        <v>0</v>
      </c>
      <c r="F6" s="18">
        <f>COUNTIFS(Survey_units!$C$5:$C$40,A6,Survey_units!$N$5:$N$40,"LOCAL_POPULATION_PRIORITY")</f>
        <v>0</v>
      </c>
      <c r="G6" s="10" t="s">
        <v>762</v>
      </c>
      <c r="H6" s="10"/>
      <c r="I6" s="10" t="s">
        <v>767</v>
      </c>
    </row>
    <row r="7" spans="1:9" ht="60.95" customHeight="1" x14ac:dyDescent="0.25">
      <c r="A7" s="2" t="s">
        <v>166</v>
      </c>
      <c r="B7" s="3" t="s">
        <v>768</v>
      </c>
      <c r="C7" s="3" t="s">
        <v>761</v>
      </c>
      <c r="D7" s="17">
        <f>COUNTIF(UF_source_links!$A$5:$A$28,A7)</f>
        <v>1</v>
      </c>
      <c r="E7" s="17">
        <f>COUNTIF(Survey_units!$C$5:$C$40,A7)</f>
        <v>1</v>
      </c>
      <c r="F7" s="17">
        <f>COUNTIFS(Survey_units!$C$5:$C$40,A7,Survey_units!$N$5:$N$40,"LOCAL_POPULATION_PRIORITY")</f>
        <v>0</v>
      </c>
      <c r="G7" s="3" t="s">
        <v>762</v>
      </c>
      <c r="H7" s="3" t="s">
        <v>165</v>
      </c>
      <c r="I7" s="3" t="s">
        <v>763</v>
      </c>
    </row>
    <row r="8" spans="1:9" ht="60.95" customHeight="1" x14ac:dyDescent="0.25">
      <c r="A8" s="9" t="s">
        <v>769</v>
      </c>
      <c r="B8" s="10" t="s">
        <v>770</v>
      </c>
      <c r="C8" s="10" t="s">
        <v>761</v>
      </c>
      <c r="D8" s="18">
        <f>COUNTIF(UF_source_links!$A$5:$A$28,A8)</f>
        <v>0</v>
      </c>
      <c r="E8" s="18">
        <f>COUNTIF(Survey_units!$C$5:$C$40,A8)</f>
        <v>0</v>
      </c>
      <c r="F8" s="18">
        <f>COUNTIFS(Survey_units!$C$5:$C$40,A8,Survey_units!$N$5:$N$40,"LOCAL_POPULATION_PRIORITY")</f>
        <v>0</v>
      </c>
      <c r="G8" s="10" t="s">
        <v>762</v>
      </c>
      <c r="H8" s="10"/>
      <c r="I8" s="10" t="s">
        <v>767</v>
      </c>
    </row>
    <row r="9" spans="1:9" ht="60.95" customHeight="1" x14ac:dyDescent="0.25">
      <c r="A9" s="2" t="s">
        <v>50</v>
      </c>
      <c r="B9" s="3" t="s">
        <v>771</v>
      </c>
      <c r="C9" s="3" t="s">
        <v>766</v>
      </c>
      <c r="D9" s="17">
        <f>COUNTIF(UF_source_links!$A$5:$A$28,A9)</f>
        <v>9</v>
      </c>
      <c r="E9" s="17">
        <f>COUNTIF(Survey_units!$C$5:$C$40,A9)</f>
        <v>14</v>
      </c>
      <c r="F9" s="17">
        <f>COUNTIFS(Survey_units!$C$5:$C$40,A9,Survey_units!$N$5:$N$40,"LOCAL_POPULATION_PRIORITY")</f>
        <v>2</v>
      </c>
      <c r="G9" s="3" t="s">
        <v>762</v>
      </c>
      <c r="H9" s="3" t="s">
        <v>772</v>
      </c>
      <c r="I9" s="3" t="s">
        <v>763</v>
      </c>
    </row>
    <row r="10" spans="1:9" ht="60.95" customHeight="1" x14ac:dyDescent="0.25">
      <c r="A10" s="9" t="s">
        <v>83</v>
      </c>
      <c r="B10" s="10" t="s">
        <v>773</v>
      </c>
      <c r="C10" s="10" t="s">
        <v>766</v>
      </c>
      <c r="D10" s="18">
        <f>COUNTIF(UF_source_links!$A$5:$A$28,A10)</f>
        <v>3</v>
      </c>
      <c r="E10" s="18">
        <f>COUNTIF(Survey_units!$C$5:$C$40,A10)</f>
        <v>4</v>
      </c>
      <c r="F10" s="18">
        <f>COUNTIFS(Survey_units!$C$5:$C$40,A10,Survey_units!$N$5:$N$40,"LOCAL_POPULATION_PRIORITY")</f>
        <v>1</v>
      </c>
      <c r="G10" s="10" t="s">
        <v>762</v>
      </c>
      <c r="H10" s="10" t="s">
        <v>774</v>
      </c>
      <c r="I10" s="10" t="s">
        <v>763</v>
      </c>
    </row>
    <row r="11" spans="1:9" ht="60.95" customHeight="1" x14ac:dyDescent="0.25">
      <c r="A11" s="2" t="s">
        <v>157</v>
      </c>
      <c r="B11" s="3" t="s">
        <v>775</v>
      </c>
      <c r="C11" s="3" t="s">
        <v>776</v>
      </c>
      <c r="D11" s="17">
        <f>COUNTIF(UF_source_links!$A$5:$A$28,A11)</f>
        <v>2</v>
      </c>
      <c r="E11" s="17">
        <f>COUNTIF(Survey_units!$C$5:$C$40,A11)</f>
        <v>2</v>
      </c>
      <c r="F11" s="17">
        <f>COUNTIFS(Survey_units!$C$5:$C$40,A11,Survey_units!$N$5:$N$40,"LOCAL_POPULATION_PRIORITY")</f>
        <v>1</v>
      </c>
      <c r="G11" s="3" t="s">
        <v>762</v>
      </c>
      <c r="H11" s="3" t="s">
        <v>777</v>
      </c>
      <c r="I11" s="3" t="s">
        <v>763</v>
      </c>
    </row>
    <row r="12" spans="1:9" ht="60.95" customHeight="1" x14ac:dyDescent="0.25">
      <c r="A12" s="9" t="s">
        <v>778</v>
      </c>
      <c r="B12" s="10" t="s">
        <v>779</v>
      </c>
      <c r="C12" s="10" t="s">
        <v>780</v>
      </c>
      <c r="D12" s="18">
        <f>COUNTIF(UF_source_links!$A$5:$A$28,A12)</f>
        <v>0</v>
      </c>
      <c r="E12" s="18">
        <f>COUNTIF(Survey_units!$C$5:$C$40,A12)</f>
        <v>0</v>
      </c>
      <c r="F12" s="18">
        <f>COUNTIFS(Survey_units!$C$5:$C$40,A12,Survey_units!$N$5:$N$40,"LOCAL_POPULATION_PRIORITY")</f>
        <v>0</v>
      </c>
      <c r="G12" s="10" t="s">
        <v>762</v>
      </c>
      <c r="H12" s="10"/>
      <c r="I12" s="10" t="s">
        <v>767</v>
      </c>
    </row>
    <row r="13" spans="1:9" ht="60.95" customHeight="1" x14ac:dyDescent="0.25">
      <c r="A13" s="2" t="s">
        <v>781</v>
      </c>
      <c r="B13" s="3" t="s">
        <v>782</v>
      </c>
      <c r="C13" s="3" t="s">
        <v>776</v>
      </c>
      <c r="D13" s="17">
        <f>COUNTIF(UF_source_links!$A$5:$A$28,A13)</f>
        <v>0</v>
      </c>
      <c r="E13" s="17">
        <f>COUNTIF(Survey_units!$C$5:$C$40,A13)</f>
        <v>0</v>
      </c>
      <c r="F13" s="17">
        <f>COUNTIFS(Survey_units!$C$5:$C$40,A13,Survey_units!$N$5:$N$40,"LOCAL_POPULATION_PRIORITY")</f>
        <v>0</v>
      </c>
      <c r="G13" s="3" t="s">
        <v>762</v>
      </c>
      <c r="H13" s="3"/>
      <c r="I13" s="3" t="s">
        <v>767</v>
      </c>
    </row>
    <row r="14" spans="1:9" ht="60.95" customHeight="1" x14ac:dyDescent="0.25">
      <c r="A14" s="9" t="s">
        <v>783</v>
      </c>
      <c r="B14" s="10" t="s">
        <v>784</v>
      </c>
      <c r="C14" s="10" t="s">
        <v>766</v>
      </c>
      <c r="D14" s="18">
        <f>COUNTIF(UF_source_links!$A$5:$A$28,A14)</f>
        <v>0</v>
      </c>
      <c r="E14" s="18">
        <f>COUNTIF(Survey_units!$C$5:$C$40,A14)</f>
        <v>0</v>
      </c>
      <c r="F14" s="18">
        <f>COUNTIFS(Survey_units!$C$5:$C$40,A14,Survey_units!$N$5:$N$40,"LOCAL_POPULATION_PRIORITY")</f>
        <v>0</v>
      </c>
      <c r="G14" s="10" t="s">
        <v>762</v>
      </c>
      <c r="H14" s="10"/>
      <c r="I14" s="10" t="s">
        <v>767</v>
      </c>
    </row>
    <row r="15" spans="1:9" ht="60.95" customHeight="1" x14ac:dyDescent="0.25">
      <c r="A15" s="2" t="s">
        <v>785</v>
      </c>
      <c r="B15" s="3" t="s">
        <v>786</v>
      </c>
      <c r="C15" s="3" t="s">
        <v>776</v>
      </c>
      <c r="D15" s="17">
        <f>COUNTIF(UF_source_links!$A$5:$A$28,A15)</f>
        <v>0</v>
      </c>
      <c r="E15" s="17">
        <f>COUNTIF(Survey_units!$C$5:$C$40,A15)</f>
        <v>0</v>
      </c>
      <c r="F15" s="17">
        <f>COUNTIFS(Survey_units!$C$5:$C$40,A15,Survey_units!$N$5:$N$40,"LOCAL_POPULATION_PRIORITY")</f>
        <v>0</v>
      </c>
      <c r="G15" s="3" t="s">
        <v>762</v>
      </c>
      <c r="H15" s="3"/>
      <c r="I15" s="3" t="s">
        <v>767</v>
      </c>
    </row>
    <row r="16" spans="1:9" ht="60.95" customHeight="1" x14ac:dyDescent="0.25">
      <c r="A16" s="9" t="s">
        <v>787</v>
      </c>
      <c r="B16" s="10" t="s">
        <v>788</v>
      </c>
      <c r="C16" s="10" t="s">
        <v>776</v>
      </c>
      <c r="D16" s="18">
        <f>COUNTIF(UF_source_links!$A$5:$A$28,A16)</f>
        <v>0</v>
      </c>
      <c r="E16" s="18">
        <f>COUNTIF(Survey_units!$C$5:$C$40,A16)</f>
        <v>0</v>
      </c>
      <c r="F16" s="18">
        <f>COUNTIFS(Survey_units!$C$5:$C$40,A16,Survey_units!$N$5:$N$40,"LOCAL_POPULATION_PRIORITY")</f>
        <v>0</v>
      </c>
      <c r="G16" s="10" t="s">
        <v>762</v>
      </c>
      <c r="H16" s="10"/>
      <c r="I16" s="10" t="s">
        <v>767</v>
      </c>
    </row>
    <row r="17" spans="1:9" ht="60.95" customHeight="1" x14ac:dyDescent="0.25">
      <c r="A17" s="2" t="s">
        <v>224</v>
      </c>
      <c r="B17" s="3" t="s">
        <v>789</v>
      </c>
      <c r="C17" s="3" t="s">
        <v>780</v>
      </c>
      <c r="D17" s="17">
        <f>COUNTIF(UF_source_links!$A$5:$A$28,A17)</f>
        <v>1</v>
      </c>
      <c r="E17" s="17">
        <f>COUNTIF(Survey_units!$C$5:$C$40,A17)</f>
        <v>1</v>
      </c>
      <c r="F17" s="17">
        <f>COUNTIFS(Survey_units!$C$5:$C$40,A17,Survey_units!$N$5:$N$40,"LOCAL_POPULATION_PRIORITY")</f>
        <v>0</v>
      </c>
      <c r="G17" s="3" t="s">
        <v>762</v>
      </c>
      <c r="H17" s="3" t="s">
        <v>223</v>
      </c>
      <c r="I17" s="3" t="s">
        <v>763</v>
      </c>
    </row>
    <row r="18" spans="1:9" ht="60.95" customHeight="1" x14ac:dyDescent="0.25">
      <c r="A18" s="9" t="s">
        <v>790</v>
      </c>
      <c r="B18" s="10" t="s">
        <v>791</v>
      </c>
      <c r="C18" s="10" t="s">
        <v>761</v>
      </c>
      <c r="D18" s="18">
        <f>COUNTIF(UF_source_links!$A$5:$A$28,A18)</f>
        <v>0</v>
      </c>
      <c r="E18" s="18">
        <f>COUNTIF(Survey_units!$C$5:$C$40,A18)</f>
        <v>0</v>
      </c>
      <c r="F18" s="18">
        <f>COUNTIFS(Survey_units!$C$5:$C$40,A18,Survey_units!$N$5:$N$40,"LOCAL_POPULATION_PRIORITY")</f>
        <v>0</v>
      </c>
      <c r="G18" s="10" t="s">
        <v>762</v>
      </c>
      <c r="H18" s="10"/>
      <c r="I18" s="10" t="s">
        <v>767</v>
      </c>
    </row>
    <row r="19" spans="1:9" ht="60.95" customHeight="1" x14ac:dyDescent="0.25">
      <c r="A19" s="2" t="s">
        <v>792</v>
      </c>
      <c r="B19" s="3" t="s">
        <v>793</v>
      </c>
      <c r="C19" s="3" t="s">
        <v>766</v>
      </c>
      <c r="D19" s="17">
        <f>COUNTIF(UF_source_links!$A$5:$A$28,A19)</f>
        <v>0</v>
      </c>
      <c r="E19" s="17">
        <f>COUNTIF(Survey_units!$C$5:$C$40,A19)</f>
        <v>0</v>
      </c>
      <c r="F19" s="17">
        <f>COUNTIFS(Survey_units!$C$5:$C$40,A19,Survey_units!$N$5:$N$40,"LOCAL_POPULATION_PRIORITY")</f>
        <v>0</v>
      </c>
      <c r="G19" s="3" t="s">
        <v>762</v>
      </c>
      <c r="H19" s="3"/>
      <c r="I19" s="3" t="s">
        <v>767</v>
      </c>
    </row>
    <row r="20" spans="1:9" ht="60.95" customHeight="1" x14ac:dyDescent="0.25">
      <c r="A20" s="9" t="s">
        <v>794</v>
      </c>
      <c r="B20" s="10" t="s">
        <v>795</v>
      </c>
      <c r="C20" s="10" t="s">
        <v>796</v>
      </c>
      <c r="D20" s="18">
        <f>COUNTIF(UF_source_links!$A$5:$A$28,A20)</f>
        <v>0</v>
      </c>
      <c r="E20" s="18">
        <f>COUNTIF(Survey_units!$C$5:$C$40,A20)</f>
        <v>0</v>
      </c>
      <c r="F20" s="18">
        <f>COUNTIFS(Survey_units!$C$5:$C$40,A20,Survey_units!$N$5:$N$40,"LOCAL_POPULATION_PRIORITY")</f>
        <v>0</v>
      </c>
      <c r="G20" s="10" t="s">
        <v>762</v>
      </c>
      <c r="H20" s="10"/>
      <c r="I20" s="10" t="s">
        <v>767</v>
      </c>
    </row>
    <row r="21" spans="1:9" ht="60.95" customHeight="1" x14ac:dyDescent="0.25">
      <c r="A21" s="2" t="s">
        <v>102</v>
      </c>
      <c r="B21" s="3" t="s">
        <v>797</v>
      </c>
      <c r="C21" s="3" t="s">
        <v>766</v>
      </c>
      <c r="D21" s="17">
        <f>COUNTIF(UF_source_links!$A$5:$A$28,A21)</f>
        <v>2</v>
      </c>
      <c r="E21" s="17">
        <f>COUNTIF(Survey_units!$C$5:$C$40,A21)</f>
        <v>3</v>
      </c>
      <c r="F21" s="17">
        <f>COUNTIFS(Survey_units!$C$5:$C$40,A21,Survey_units!$N$5:$N$40,"LOCAL_POPULATION_PRIORITY")</f>
        <v>1</v>
      </c>
      <c r="G21" s="3" t="s">
        <v>762</v>
      </c>
      <c r="H21" s="3" t="s">
        <v>798</v>
      </c>
      <c r="I21" s="3" t="s">
        <v>763</v>
      </c>
    </row>
    <row r="22" spans="1:9" ht="60.95" customHeight="1" x14ac:dyDescent="0.25">
      <c r="A22" s="9" t="s">
        <v>799</v>
      </c>
      <c r="B22" s="10" t="s">
        <v>800</v>
      </c>
      <c r="C22" s="10" t="s">
        <v>766</v>
      </c>
      <c r="D22" s="18">
        <f>COUNTIF(UF_source_links!$A$5:$A$28,A22)</f>
        <v>0</v>
      </c>
      <c r="E22" s="18">
        <f>COUNTIF(Survey_units!$C$5:$C$40,A22)</f>
        <v>0</v>
      </c>
      <c r="F22" s="18">
        <f>COUNTIFS(Survey_units!$C$5:$C$40,A22,Survey_units!$N$5:$N$40,"LOCAL_POPULATION_PRIORITY")</f>
        <v>0</v>
      </c>
      <c r="G22" s="10" t="s">
        <v>762</v>
      </c>
      <c r="H22" s="10"/>
      <c r="I22" s="10" t="s">
        <v>767</v>
      </c>
    </row>
    <row r="23" spans="1:9" ht="60.95" customHeight="1" x14ac:dyDescent="0.25">
      <c r="A23" s="2" t="s">
        <v>118</v>
      </c>
      <c r="B23" s="3" t="s">
        <v>801</v>
      </c>
      <c r="C23" s="3" t="s">
        <v>780</v>
      </c>
      <c r="D23" s="17">
        <f>COUNTIF(UF_source_links!$A$5:$A$28,A23)</f>
        <v>2</v>
      </c>
      <c r="E23" s="17">
        <f>COUNTIF(Survey_units!$C$5:$C$40,A23)</f>
        <v>2</v>
      </c>
      <c r="F23" s="17">
        <f>COUNTIFS(Survey_units!$C$5:$C$40,A23,Survey_units!$N$5:$N$40,"LOCAL_POPULATION_PRIORITY")</f>
        <v>1</v>
      </c>
      <c r="G23" s="3" t="s">
        <v>762</v>
      </c>
      <c r="H23" s="3" t="s">
        <v>802</v>
      </c>
      <c r="I23" s="3" t="s">
        <v>763</v>
      </c>
    </row>
    <row r="24" spans="1:9" ht="60.95" customHeight="1" x14ac:dyDescent="0.25">
      <c r="A24" s="9" t="s">
        <v>803</v>
      </c>
      <c r="B24" s="10" t="s">
        <v>804</v>
      </c>
      <c r="C24" s="10" t="s">
        <v>766</v>
      </c>
      <c r="D24" s="18">
        <f>COUNTIF(UF_source_links!$A$5:$A$28,A24)</f>
        <v>0</v>
      </c>
      <c r="E24" s="18">
        <f>COUNTIF(Survey_units!$C$5:$C$40,A24)</f>
        <v>0</v>
      </c>
      <c r="F24" s="18">
        <f>COUNTIFS(Survey_units!$C$5:$C$40,A24,Survey_units!$N$5:$N$40,"LOCAL_POPULATION_PRIORITY")</f>
        <v>0</v>
      </c>
      <c r="G24" s="10" t="s">
        <v>762</v>
      </c>
      <c r="H24" s="10"/>
      <c r="I24" s="10" t="s">
        <v>767</v>
      </c>
    </row>
    <row r="25" spans="1:9" ht="60.95" customHeight="1" x14ac:dyDescent="0.25">
      <c r="A25" s="2" t="s">
        <v>805</v>
      </c>
      <c r="B25" s="3" t="s">
        <v>806</v>
      </c>
      <c r="C25" s="3" t="s">
        <v>796</v>
      </c>
      <c r="D25" s="17">
        <f>COUNTIF(UF_source_links!$A$5:$A$28,A25)</f>
        <v>0</v>
      </c>
      <c r="E25" s="17">
        <f>COUNTIF(Survey_units!$C$5:$C$40,A25)</f>
        <v>0</v>
      </c>
      <c r="F25" s="17">
        <f>COUNTIFS(Survey_units!$C$5:$C$40,A25,Survey_units!$N$5:$N$40,"LOCAL_POPULATION_PRIORITY")</f>
        <v>0</v>
      </c>
      <c r="G25" s="3" t="s">
        <v>762</v>
      </c>
      <c r="H25" s="3"/>
      <c r="I25" s="3" t="s">
        <v>767</v>
      </c>
    </row>
    <row r="26" spans="1:9" ht="60.95" customHeight="1" x14ac:dyDescent="0.25">
      <c r="A26" s="9" t="s">
        <v>807</v>
      </c>
      <c r="B26" s="10" t="s">
        <v>808</v>
      </c>
      <c r="C26" s="10" t="s">
        <v>761</v>
      </c>
      <c r="D26" s="18">
        <f>COUNTIF(UF_source_links!$A$5:$A$28,A26)</f>
        <v>0</v>
      </c>
      <c r="E26" s="18">
        <f>COUNTIF(Survey_units!$C$5:$C$40,A26)</f>
        <v>0</v>
      </c>
      <c r="F26" s="18">
        <f>COUNTIFS(Survey_units!$C$5:$C$40,A26,Survey_units!$N$5:$N$40,"LOCAL_POPULATION_PRIORITY")</f>
        <v>0</v>
      </c>
      <c r="G26" s="10" t="s">
        <v>762</v>
      </c>
      <c r="H26" s="10"/>
      <c r="I26" s="10" t="s">
        <v>767</v>
      </c>
    </row>
    <row r="27" spans="1:9" ht="60.95" customHeight="1" x14ac:dyDescent="0.25">
      <c r="A27" s="2" t="s">
        <v>809</v>
      </c>
      <c r="B27" s="3" t="s">
        <v>810</v>
      </c>
      <c r="C27" s="3" t="s">
        <v>761</v>
      </c>
      <c r="D27" s="17">
        <f>COUNTIF(UF_source_links!$A$5:$A$28,A27)</f>
        <v>0</v>
      </c>
      <c r="E27" s="17">
        <f>COUNTIF(Survey_units!$C$5:$C$40,A27)</f>
        <v>0</v>
      </c>
      <c r="F27" s="17">
        <f>COUNTIFS(Survey_units!$C$5:$C$40,A27,Survey_units!$N$5:$N$40,"LOCAL_POPULATION_PRIORITY")</f>
        <v>0</v>
      </c>
      <c r="G27" s="3" t="s">
        <v>762</v>
      </c>
      <c r="H27" s="3"/>
      <c r="I27" s="3" t="s">
        <v>767</v>
      </c>
    </row>
    <row r="28" spans="1:9" ht="60.95" customHeight="1" x14ac:dyDescent="0.25">
      <c r="A28" s="9" t="s">
        <v>811</v>
      </c>
      <c r="B28" s="10" t="s">
        <v>812</v>
      </c>
      <c r="C28" s="10" t="s">
        <v>796</v>
      </c>
      <c r="D28" s="18">
        <f>COUNTIF(UF_source_links!$A$5:$A$28,A28)</f>
        <v>0</v>
      </c>
      <c r="E28" s="18">
        <f>COUNTIF(Survey_units!$C$5:$C$40,A28)</f>
        <v>0</v>
      </c>
      <c r="F28" s="18">
        <f>COUNTIFS(Survey_units!$C$5:$C$40,A28,Survey_units!$N$5:$N$40,"LOCAL_POPULATION_PRIORITY")</f>
        <v>0</v>
      </c>
      <c r="G28" s="10" t="s">
        <v>762</v>
      </c>
      <c r="H28" s="10"/>
      <c r="I28" s="10" t="s">
        <v>767</v>
      </c>
    </row>
    <row r="29" spans="1:9" ht="60.95" customHeight="1" x14ac:dyDescent="0.25">
      <c r="A29" s="2" t="s">
        <v>174</v>
      </c>
      <c r="B29" s="3" t="s">
        <v>813</v>
      </c>
      <c r="C29" s="3" t="s">
        <v>780</v>
      </c>
      <c r="D29" s="17">
        <f>COUNTIF(UF_source_links!$A$5:$A$28,A29)</f>
        <v>3</v>
      </c>
      <c r="E29" s="17">
        <f>COUNTIF(Survey_units!$C$5:$C$40,A29)</f>
        <v>7</v>
      </c>
      <c r="F29" s="17">
        <f>COUNTIFS(Survey_units!$C$5:$C$40,A29,Survey_units!$N$5:$N$40,"LOCAL_POPULATION_PRIORITY")</f>
        <v>0</v>
      </c>
      <c r="G29" s="3" t="s">
        <v>762</v>
      </c>
      <c r="H29" s="3" t="s">
        <v>814</v>
      </c>
      <c r="I29" s="3" t="s">
        <v>763</v>
      </c>
    </row>
    <row r="30" spans="1:9" ht="60.95" customHeight="1" x14ac:dyDescent="0.25">
      <c r="A30" s="9" t="s">
        <v>815</v>
      </c>
      <c r="B30" s="10" t="s">
        <v>816</v>
      </c>
      <c r="C30" s="10" t="s">
        <v>766</v>
      </c>
      <c r="D30" s="18">
        <f>COUNTIF(UF_source_links!$A$5:$A$28,A30)</f>
        <v>0</v>
      </c>
      <c r="E30" s="18">
        <f>COUNTIF(Survey_units!$C$5:$C$40,A30)</f>
        <v>0</v>
      </c>
      <c r="F30" s="18">
        <f>COUNTIFS(Survey_units!$C$5:$C$40,A30,Survey_units!$N$5:$N$40,"LOCAL_POPULATION_PRIORITY")</f>
        <v>0</v>
      </c>
      <c r="G30" s="10" t="s">
        <v>762</v>
      </c>
      <c r="H30" s="10"/>
      <c r="I30" s="10" t="s">
        <v>767</v>
      </c>
    </row>
    <row r="31" spans="1:9" ht="60.95" customHeight="1" x14ac:dyDescent="0.25">
      <c r="A31" s="2" t="s">
        <v>817</v>
      </c>
      <c r="B31" s="3" t="s">
        <v>818</v>
      </c>
      <c r="C31" s="3" t="s">
        <v>761</v>
      </c>
      <c r="D31" s="17">
        <f>COUNTIF(UF_source_links!$A$5:$A$28,A31)</f>
        <v>0</v>
      </c>
      <c r="E31" s="17">
        <f>COUNTIF(Survey_units!$C$5:$C$40,A31)</f>
        <v>0</v>
      </c>
      <c r="F31" s="17">
        <f>COUNTIFS(Survey_units!$C$5:$C$40,A31,Survey_units!$N$5:$N$40,"LOCAL_POPULATION_PRIORITY")</f>
        <v>0</v>
      </c>
      <c r="G31" s="3" t="s">
        <v>762</v>
      </c>
      <c r="H31" s="3"/>
      <c r="I31" s="3" t="s">
        <v>767</v>
      </c>
    </row>
  </sheetData>
  <autoFilter ref="A4:I31" xr:uid="{00000000-0009-0000-0000-000007000000}"/>
  <mergeCells count="2">
    <mergeCell ref="A2:H2"/>
    <mergeCell ref="A1:H1"/>
  </mergeCells>
  <printOptions horizontalCentered="1"/>
  <pageMargins left="0.75" right="0.75" top="1" bottom="1" header="0.5" footer="0.5"/>
  <pageSetup paperSize="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6B73"/>
    <pageSetUpPr fitToPage="1"/>
  </sheetPr>
  <dimension ref="A1:G28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16" customWidth="1"/>
    <col min="5" max="6" width="58" customWidth="1"/>
    <col min="7" max="7" width="44" customWidth="1"/>
  </cols>
  <sheetData>
    <row r="1" spans="1:7" ht="33" customHeight="1" x14ac:dyDescent="0.4">
      <c r="A1" s="29" t="s">
        <v>819</v>
      </c>
      <c r="B1" s="22"/>
      <c r="C1" s="22"/>
      <c r="D1" s="22"/>
      <c r="E1" s="22"/>
      <c r="F1" s="22"/>
      <c r="G1" s="22"/>
    </row>
    <row r="2" spans="1:7" ht="42" customHeight="1" x14ac:dyDescent="0.25">
      <c r="A2" s="28" t="s">
        <v>820</v>
      </c>
      <c r="B2" s="22"/>
      <c r="C2" s="22"/>
      <c r="D2" s="22"/>
      <c r="E2" s="22"/>
      <c r="F2" s="22"/>
      <c r="G2" s="22"/>
    </row>
    <row r="4" spans="1:7" ht="33.950000000000003" customHeight="1" x14ac:dyDescent="0.25">
      <c r="A4" s="1" t="s">
        <v>821</v>
      </c>
      <c r="B4" s="1" t="s">
        <v>822</v>
      </c>
      <c r="C4" s="1" t="s">
        <v>823</v>
      </c>
      <c r="D4" s="1" t="s">
        <v>824</v>
      </c>
      <c r="E4" s="1" t="s">
        <v>825</v>
      </c>
      <c r="F4" s="1" t="s">
        <v>826</v>
      </c>
      <c r="G4" s="1" t="s">
        <v>47</v>
      </c>
    </row>
    <row r="5" spans="1:7" ht="92.1" customHeight="1" x14ac:dyDescent="0.25">
      <c r="A5" s="2" t="s">
        <v>827</v>
      </c>
      <c r="B5" s="3" t="s">
        <v>828</v>
      </c>
      <c r="C5" s="3" t="s">
        <v>829</v>
      </c>
      <c r="D5" s="3" t="s">
        <v>830</v>
      </c>
      <c r="E5" s="7" t="s">
        <v>831</v>
      </c>
      <c r="F5" s="7" t="s">
        <v>832</v>
      </c>
      <c r="G5" s="8" t="s">
        <v>738</v>
      </c>
    </row>
    <row r="6" spans="1:7" ht="92.1" customHeight="1" x14ac:dyDescent="0.25">
      <c r="A6" s="9" t="s">
        <v>833</v>
      </c>
      <c r="B6" s="10" t="s">
        <v>828</v>
      </c>
      <c r="C6" s="10" t="s">
        <v>834</v>
      </c>
      <c r="D6" s="10" t="s">
        <v>835</v>
      </c>
      <c r="E6" s="14" t="s">
        <v>836</v>
      </c>
      <c r="F6" s="14" t="s">
        <v>837</v>
      </c>
      <c r="G6" s="15" t="s">
        <v>741</v>
      </c>
    </row>
    <row r="7" spans="1:7" ht="92.1" customHeight="1" x14ac:dyDescent="0.25">
      <c r="A7" s="2" t="s">
        <v>838</v>
      </c>
      <c r="B7" s="3" t="s">
        <v>839</v>
      </c>
      <c r="C7" s="3" t="s">
        <v>840</v>
      </c>
      <c r="D7" s="3" t="s">
        <v>841</v>
      </c>
      <c r="E7" s="7" t="s">
        <v>842</v>
      </c>
      <c r="F7" s="7" t="s">
        <v>843</v>
      </c>
      <c r="G7" s="3"/>
    </row>
    <row r="8" spans="1:7" ht="92.1" customHeight="1" x14ac:dyDescent="0.25">
      <c r="A8" s="9" t="s">
        <v>844</v>
      </c>
      <c r="B8" s="10" t="s">
        <v>845</v>
      </c>
      <c r="C8" s="10" t="s">
        <v>846</v>
      </c>
      <c r="D8" s="10" t="s">
        <v>847</v>
      </c>
      <c r="E8" s="14" t="s">
        <v>848</v>
      </c>
      <c r="F8" s="14" t="s">
        <v>849</v>
      </c>
      <c r="G8" s="10"/>
    </row>
    <row r="9" spans="1:7" ht="92.1" customHeight="1" x14ac:dyDescent="0.25">
      <c r="A9" s="2" t="s">
        <v>850</v>
      </c>
      <c r="B9" s="3" t="s">
        <v>851</v>
      </c>
      <c r="C9" s="3" t="s">
        <v>852</v>
      </c>
      <c r="D9" s="3" t="s">
        <v>853</v>
      </c>
      <c r="E9" s="7" t="s">
        <v>854</v>
      </c>
      <c r="F9" s="7" t="s">
        <v>855</v>
      </c>
      <c r="G9" s="3"/>
    </row>
    <row r="10" spans="1:7" ht="92.1" customHeight="1" x14ac:dyDescent="0.25">
      <c r="A10" s="9" t="s">
        <v>856</v>
      </c>
      <c r="B10" s="10" t="s">
        <v>857</v>
      </c>
      <c r="C10" s="10" t="s">
        <v>858</v>
      </c>
      <c r="D10" s="10" t="s">
        <v>859</v>
      </c>
      <c r="E10" s="14" t="s">
        <v>860</v>
      </c>
      <c r="F10" s="14" t="s">
        <v>861</v>
      </c>
      <c r="G10" s="10"/>
    </row>
    <row r="11" spans="1:7" ht="92.1" customHeight="1" x14ac:dyDescent="0.25">
      <c r="A11" s="2" t="s">
        <v>862</v>
      </c>
      <c r="B11" s="3" t="s">
        <v>863</v>
      </c>
      <c r="C11" s="3" t="s">
        <v>135</v>
      </c>
      <c r="D11" s="3" t="s">
        <v>864</v>
      </c>
      <c r="E11" s="7" t="s">
        <v>865</v>
      </c>
      <c r="F11" s="7" t="s">
        <v>866</v>
      </c>
      <c r="G11" s="3"/>
    </row>
    <row r="12" spans="1:7" ht="92.1" customHeight="1" x14ac:dyDescent="0.25">
      <c r="A12" s="9" t="s">
        <v>867</v>
      </c>
      <c r="B12" s="10" t="s">
        <v>868</v>
      </c>
      <c r="C12" s="10" t="s">
        <v>869</v>
      </c>
      <c r="D12" s="10" t="s">
        <v>870</v>
      </c>
      <c r="E12" s="14" t="s">
        <v>871</v>
      </c>
      <c r="F12" s="14" t="s">
        <v>872</v>
      </c>
      <c r="G12" s="10"/>
    </row>
    <row r="13" spans="1:7" ht="92.1" customHeight="1" x14ac:dyDescent="0.25">
      <c r="A13" s="2" t="s">
        <v>873</v>
      </c>
      <c r="B13" s="3" t="s">
        <v>874</v>
      </c>
      <c r="C13" s="3" t="s">
        <v>233</v>
      </c>
      <c r="D13" s="3" t="s">
        <v>875</v>
      </c>
      <c r="E13" s="7" t="s">
        <v>876</v>
      </c>
      <c r="F13" s="7" t="s">
        <v>877</v>
      </c>
      <c r="G13" s="8" t="s">
        <v>878</v>
      </c>
    </row>
    <row r="14" spans="1:7" ht="92.1" customHeight="1" x14ac:dyDescent="0.25">
      <c r="A14" s="9" t="s">
        <v>879</v>
      </c>
      <c r="B14" s="10" t="s">
        <v>880</v>
      </c>
      <c r="C14" s="10" t="s">
        <v>881</v>
      </c>
      <c r="D14" s="10" t="s">
        <v>882</v>
      </c>
      <c r="E14" s="14" t="s">
        <v>883</v>
      </c>
      <c r="F14" s="14" t="s">
        <v>884</v>
      </c>
      <c r="G14" s="10"/>
    </row>
    <row r="15" spans="1:7" ht="92.1" customHeight="1" x14ac:dyDescent="0.25">
      <c r="A15" s="2" t="s">
        <v>885</v>
      </c>
      <c r="B15" s="3" t="s">
        <v>886</v>
      </c>
      <c r="C15" s="3" t="s">
        <v>273</v>
      </c>
      <c r="D15" s="3" t="s">
        <v>887</v>
      </c>
      <c r="E15" s="7" t="s">
        <v>888</v>
      </c>
      <c r="F15" s="7" t="s">
        <v>889</v>
      </c>
      <c r="G15" s="8" t="s">
        <v>890</v>
      </c>
    </row>
    <row r="16" spans="1:7" ht="92.1" customHeight="1" x14ac:dyDescent="0.25">
      <c r="A16" s="9" t="s">
        <v>891</v>
      </c>
      <c r="B16" s="10" t="s">
        <v>892</v>
      </c>
      <c r="C16" s="10" t="s">
        <v>893</v>
      </c>
      <c r="D16" s="10" t="s">
        <v>894</v>
      </c>
      <c r="E16" s="14" t="s">
        <v>895</v>
      </c>
      <c r="F16" s="14" t="s">
        <v>896</v>
      </c>
      <c r="G16" s="10"/>
    </row>
    <row r="17" spans="1:7" ht="92.1" customHeight="1" x14ac:dyDescent="0.25">
      <c r="A17" s="2" t="s">
        <v>897</v>
      </c>
      <c r="B17" s="3" t="s">
        <v>898</v>
      </c>
      <c r="C17" s="3" t="s">
        <v>899</v>
      </c>
      <c r="D17" s="3" t="s">
        <v>900</v>
      </c>
      <c r="E17" s="7" t="s">
        <v>901</v>
      </c>
      <c r="F17" s="7" t="s">
        <v>902</v>
      </c>
      <c r="G17" s="8" t="s">
        <v>903</v>
      </c>
    </row>
    <row r="18" spans="1:7" ht="92.1" customHeight="1" x14ac:dyDescent="0.25">
      <c r="A18" s="9" t="s">
        <v>904</v>
      </c>
      <c r="B18" s="10" t="s">
        <v>905</v>
      </c>
      <c r="C18" s="10" t="s">
        <v>49</v>
      </c>
      <c r="D18" s="10" t="s">
        <v>906</v>
      </c>
      <c r="E18" s="14" t="s">
        <v>907</v>
      </c>
      <c r="F18" s="14" t="s">
        <v>908</v>
      </c>
      <c r="G18" s="15" t="s">
        <v>909</v>
      </c>
    </row>
    <row r="19" spans="1:7" ht="92.1" customHeight="1" x14ac:dyDescent="0.25">
      <c r="A19" s="2" t="s">
        <v>910</v>
      </c>
      <c r="B19" s="3" t="s">
        <v>911</v>
      </c>
      <c r="C19" s="3" t="s">
        <v>203</v>
      </c>
      <c r="D19" s="3" t="s">
        <v>912</v>
      </c>
      <c r="E19" s="7" t="s">
        <v>913</v>
      </c>
      <c r="F19" s="7" t="s">
        <v>914</v>
      </c>
      <c r="G19" s="8" t="s">
        <v>915</v>
      </c>
    </row>
    <row r="20" spans="1:7" ht="92.1" customHeight="1" x14ac:dyDescent="0.25">
      <c r="A20" s="9" t="s">
        <v>916</v>
      </c>
      <c r="B20" s="10" t="s">
        <v>917</v>
      </c>
      <c r="C20" s="10"/>
      <c r="D20" s="10" t="s">
        <v>918</v>
      </c>
      <c r="E20" s="14" t="s">
        <v>919</v>
      </c>
      <c r="F20" s="14" t="s">
        <v>920</v>
      </c>
      <c r="G20" s="10"/>
    </row>
    <row r="21" spans="1:7" ht="92.1" customHeight="1" x14ac:dyDescent="0.25">
      <c r="A21" s="2" t="s">
        <v>921</v>
      </c>
      <c r="B21" s="3" t="s">
        <v>922</v>
      </c>
      <c r="C21" s="3"/>
      <c r="D21" s="3" t="s">
        <v>923</v>
      </c>
      <c r="E21" s="7" t="s">
        <v>924</v>
      </c>
      <c r="F21" s="7" t="s">
        <v>925</v>
      </c>
      <c r="G21" s="8" t="s">
        <v>926</v>
      </c>
    </row>
    <row r="22" spans="1:7" ht="92.1" customHeight="1" x14ac:dyDescent="0.25">
      <c r="A22" s="9" t="s">
        <v>927</v>
      </c>
      <c r="B22" s="10" t="s">
        <v>928</v>
      </c>
      <c r="C22" s="10"/>
      <c r="D22" s="10" t="s">
        <v>929</v>
      </c>
      <c r="E22" s="14" t="s">
        <v>930</v>
      </c>
      <c r="F22" s="14" t="s">
        <v>931</v>
      </c>
      <c r="G22" s="15" t="s">
        <v>932</v>
      </c>
    </row>
    <row r="23" spans="1:7" ht="92.1" customHeight="1" x14ac:dyDescent="0.25">
      <c r="A23" s="2" t="s">
        <v>933</v>
      </c>
      <c r="B23" s="3" t="s">
        <v>934</v>
      </c>
      <c r="C23" s="3"/>
      <c r="D23" s="3" t="s">
        <v>935</v>
      </c>
      <c r="E23" s="7" t="s">
        <v>936</v>
      </c>
      <c r="F23" s="7" t="s">
        <v>937</v>
      </c>
      <c r="G23" s="8" t="s">
        <v>938</v>
      </c>
    </row>
    <row r="24" spans="1:7" ht="92.1" customHeight="1" x14ac:dyDescent="0.25">
      <c r="A24" s="9" t="s">
        <v>939</v>
      </c>
      <c r="B24" s="10" t="s">
        <v>940</v>
      </c>
      <c r="C24" s="10"/>
      <c r="D24" s="10" t="s">
        <v>941</v>
      </c>
      <c r="E24" s="14" t="s">
        <v>942</v>
      </c>
      <c r="F24" s="14" t="s">
        <v>943</v>
      </c>
      <c r="G24" s="10"/>
    </row>
    <row r="25" spans="1:7" ht="92.1" customHeight="1" x14ac:dyDescent="0.25">
      <c r="A25" s="2" t="s">
        <v>944</v>
      </c>
      <c r="B25" s="3" t="s">
        <v>945</v>
      </c>
      <c r="C25" s="3" t="s">
        <v>946</v>
      </c>
      <c r="D25" s="3" t="s">
        <v>947</v>
      </c>
      <c r="E25" s="7" t="s">
        <v>948</v>
      </c>
      <c r="F25" s="7" t="s">
        <v>949</v>
      </c>
      <c r="G25" s="3"/>
    </row>
    <row r="26" spans="1:7" ht="92.1" customHeight="1" x14ac:dyDescent="0.25">
      <c r="A26" s="9" t="s">
        <v>950</v>
      </c>
      <c r="B26" s="10" t="s">
        <v>951</v>
      </c>
      <c r="C26" s="10" t="s">
        <v>952</v>
      </c>
      <c r="D26" s="10" t="s">
        <v>953</v>
      </c>
      <c r="E26" s="14" t="s">
        <v>954</v>
      </c>
      <c r="F26" s="14" t="s">
        <v>955</v>
      </c>
      <c r="G26" s="10"/>
    </row>
    <row r="27" spans="1:7" ht="92.1" customHeight="1" x14ac:dyDescent="0.25">
      <c r="A27" s="2" t="s">
        <v>956</v>
      </c>
      <c r="B27" s="3" t="s">
        <v>957</v>
      </c>
      <c r="C27" s="3" t="s">
        <v>958</v>
      </c>
      <c r="D27" s="3" t="s">
        <v>959</v>
      </c>
      <c r="E27" s="7" t="s">
        <v>960</v>
      </c>
      <c r="F27" s="7" t="s">
        <v>961</v>
      </c>
      <c r="G27" s="3"/>
    </row>
    <row r="28" spans="1:7" ht="92.1" customHeight="1" x14ac:dyDescent="0.25">
      <c r="A28" s="9" t="s">
        <v>962</v>
      </c>
      <c r="B28" s="10" t="s">
        <v>963</v>
      </c>
      <c r="C28" s="10" t="s">
        <v>964</v>
      </c>
      <c r="D28" s="10" t="s">
        <v>965</v>
      </c>
      <c r="E28" s="14" t="s">
        <v>966</v>
      </c>
      <c r="F28" s="14" t="s">
        <v>967</v>
      </c>
      <c r="G28" s="10"/>
    </row>
  </sheetData>
  <autoFilter ref="A4:G28" xr:uid="{00000000-0009-0000-0000-000008000000}"/>
  <mergeCells count="2">
    <mergeCell ref="A2:G2"/>
    <mergeCell ref="A1:G1"/>
  </mergeCells>
  <hyperlinks>
    <hyperlink ref="G5" r:id="rId1" xr:uid="{00000000-0004-0000-0800-000000000000}"/>
    <hyperlink ref="G6" r:id="rId2" xr:uid="{00000000-0004-0000-0800-000001000000}"/>
    <hyperlink ref="G13" r:id="rId3" xr:uid="{00000000-0004-0000-0800-000002000000}"/>
    <hyperlink ref="G15" r:id="rId4" xr:uid="{00000000-0004-0000-0800-000003000000}"/>
    <hyperlink ref="G17" r:id="rId5" xr:uid="{00000000-0004-0000-0800-000004000000}"/>
    <hyperlink ref="G18" r:id="rId6" xr:uid="{00000000-0004-0000-0800-000005000000}"/>
    <hyperlink ref="G19" r:id="rId7" xr:uid="{00000000-0004-0000-0800-000006000000}"/>
    <hyperlink ref="G21" r:id="rId8" xr:uid="{00000000-0004-0000-0800-000007000000}"/>
    <hyperlink ref="G22" r:id="rId9" xr:uid="{00000000-0004-0000-0800-000008000000}"/>
    <hyperlink ref="G23" r:id="rId10" xr:uid="{00000000-0004-0000-0800-000009000000}"/>
  </hyperlinks>
  <printOptions horizontalCentered="1"/>
  <pageMargins left="0.75" right="0.75" top="1" bottom="1" header="0.5" footer="0.5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6B73"/>
    <pageSetUpPr fitToPage="1"/>
  </sheetPr>
  <dimension ref="A1:G16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9" customWidth="1"/>
    <col min="3" max="7" width="16" customWidth="1"/>
  </cols>
  <sheetData>
    <row r="1" spans="1:7" ht="33" customHeight="1" x14ac:dyDescent="0.4">
      <c r="A1" s="29" t="s">
        <v>968</v>
      </c>
      <c r="B1" s="22"/>
      <c r="C1" s="22"/>
      <c r="D1" s="22"/>
      <c r="E1" s="22"/>
      <c r="F1" s="22"/>
      <c r="G1" s="22"/>
    </row>
    <row r="2" spans="1:7" ht="42" customHeight="1" x14ac:dyDescent="0.25">
      <c r="A2" s="28" t="s">
        <v>969</v>
      </c>
      <c r="B2" s="22"/>
      <c r="C2" s="22"/>
      <c r="D2" s="22"/>
      <c r="E2" s="22"/>
      <c r="F2" s="22"/>
      <c r="G2" s="22"/>
    </row>
    <row r="4" spans="1:7" ht="33.950000000000003" customHeight="1" x14ac:dyDescent="0.25">
      <c r="A4" s="1" t="s">
        <v>970</v>
      </c>
      <c r="B4" s="1" t="s">
        <v>971</v>
      </c>
      <c r="C4" s="1" t="s">
        <v>972</v>
      </c>
      <c r="D4" s="1" t="s">
        <v>973</v>
      </c>
      <c r="E4" s="1" t="s">
        <v>974</v>
      </c>
      <c r="F4" s="1" t="s">
        <v>975</v>
      </c>
      <c r="G4" s="1" t="s">
        <v>976</v>
      </c>
    </row>
    <row r="5" spans="1:7" ht="92.1" customHeight="1" x14ac:dyDescent="0.25">
      <c r="A5" s="2" t="s">
        <v>977</v>
      </c>
      <c r="B5" s="3" t="s">
        <v>633</v>
      </c>
      <c r="C5" s="3" t="s">
        <v>978</v>
      </c>
      <c r="D5" s="3" t="s">
        <v>979</v>
      </c>
      <c r="E5" s="3" t="s">
        <v>980</v>
      </c>
      <c r="F5" s="3" t="s">
        <v>981</v>
      </c>
      <c r="G5" s="3" t="s">
        <v>982</v>
      </c>
    </row>
    <row r="6" spans="1:7" ht="92.1" customHeight="1" x14ac:dyDescent="0.25">
      <c r="A6" s="9" t="s">
        <v>983</v>
      </c>
      <c r="B6" s="10" t="s">
        <v>633</v>
      </c>
      <c r="C6" s="10" t="s">
        <v>984</v>
      </c>
      <c r="D6" s="10" t="s">
        <v>985</v>
      </c>
      <c r="E6" s="10" t="s">
        <v>986</v>
      </c>
      <c r="F6" s="10" t="s">
        <v>987</v>
      </c>
      <c r="G6" s="10" t="s">
        <v>982</v>
      </c>
    </row>
    <row r="7" spans="1:7" ht="92.1" customHeight="1" x14ac:dyDescent="0.25">
      <c r="A7" s="2" t="s">
        <v>988</v>
      </c>
      <c r="B7" s="3" t="s">
        <v>633</v>
      </c>
      <c r="C7" s="3" t="s">
        <v>989</v>
      </c>
      <c r="D7" s="3" t="s">
        <v>990</v>
      </c>
      <c r="E7" s="3" t="s">
        <v>991</v>
      </c>
      <c r="F7" s="3" t="s">
        <v>992</v>
      </c>
      <c r="G7" s="3" t="s">
        <v>982</v>
      </c>
    </row>
    <row r="8" spans="1:7" ht="92.1" customHeight="1" x14ac:dyDescent="0.25">
      <c r="A8" s="9" t="s">
        <v>993</v>
      </c>
      <c r="B8" s="10" t="s">
        <v>633</v>
      </c>
      <c r="C8" s="10" t="s">
        <v>994</v>
      </c>
      <c r="D8" s="10" t="s">
        <v>995</v>
      </c>
      <c r="E8" s="10" t="s">
        <v>996</v>
      </c>
      <c r="F8" s="10" t="s">
        <v>997</v>
      </c>
      <c r="G8" s="10" t="s">
        <v>982</v>
      </c>
    </row>
    <row r="9" spans="1:7" ht="92.1" customHeight="1" x14ac:dyDescent="0.25">
      <c r="A9" s="2" t="s">
        <v>998</v>
      </c>
      <c r="B9" s="3" t="s">
        <v>633</v>
      </c>
      <c r="C9" s="3" t="s">
        <v>999</v>
      </c>
      <c r="D9" s="3" t="s">
        <v>1000</v>
      </c>
      <c r="E9" s="3" t="s">
        <v>1001</v>
      </c>
      <c r="F9" s="3" t="s">
        <v>1002</v>
      </c>
      <c r="G9" s="3" t="s">
        <v>982</v>
      </c>
    </row>
    <row r="10" spans="1:7" ht="92.1" customHeight="1" x14ac:dyDescent="0.25">
      <c r="A10" s="9" t="s">
        <v>1003</v>
      </c>
      <c r="B10" s="10" t="s">
        <v>633</v>
      </c>
      <c r="C10" s="10" t="s">
        <v>1004</v>
      </c>
      <c r="D10" s="10" t="s">
        <v>1005</v>
      </c>
      <c r="E10" s="10" t="s">
        <v>1006</v>
      </c>
      <c r="F10" s="10" t="s">
        <v>1007</v>
      </c>
      <c r="G10" s="10" t="s">
        <v>982</v>
      </c>
    </row>
    <row r="11" spans="1:7" ht="92.1" customHeight="1" x14ac:dyDescent="0.25">
      <c r="A11" s="2" t="s">
        <v>1008</v>
      </c>
      <c r="B11" s="3" t="s">
        <v>633</v>
      </c>
      <c r="C11" s="3" t="s">
        <v>1009</v>
      </c>
      <c r="D11" s="3" t="s">
        <v>1010</v>
      </c>
      <c r="E11" s="3" t="s">
        <v>1011</v>
      </c>
      <c r="F11" s="3" t="s">
        <v>1012</v>
      </c>
      <c r="G11" s="3" t="s">
        <v>982</v>
      </c>
    </row>
    <row r="12" spans="1:7" ht="92.1" customHeight="1" x14ac:dyDescent="0.25">
      <c r="A12" s="9" t="s">
        <v>1013</v>
      </c>
      <c r="B12" s="10" t="s">
        <v>633</v>
      </c>
      <c r="C12" s="10" t="s">
        <v>1014</v>
      </c>
      <c r="D12" s="10" t="s">
        <v>1015</v>
      </c>
      <c r="E12" s="10" t="s">
        <v>1016</v>
      </c>
      <c r="F12" s="10" t="s">
        <v>1017</v>
      </c>
      <c r="G12" s="10" t="s">
        <v>982</v>
      </c>
    </row>
    <row r="13" spans="1:7" ht="92.1" customHeight="1" x14ac:dyDescent="0.25">
      <c r="A13" s="2" t="s">
        <v>1018</v>
      </c>
      <c r="B13" s="3" t="s">
        <v>633</v>
      </c>
      <c r="C13" s="3" t="s">
        <v>1019</v>
      </c>
      <c r="D13" s="3" t="s">
        <v>1020</v>
      </c>
      <c r="E13" s="3" t="s">
        <v>1021</v>
      </c>
      <c r="F13" s="3" t="s">
        <v>1022</v>
      </c>
      <c r="G13" s="3" t="s">
        <v>982</v>
      </c>
    </row>
    <row r="14" spans="1:7" ht="92.1" customHeight="1" x14ac:dyDescent="0.25">
      <c r="A14" s="9" t="s">
        <v>1023</v>
      </c>
      <c r="B14" s="10" t="s">
        <v>633</v>
      </c>
      <c r="C14" s="10" t="s">
        <v>1024</v>
      </c>
      <c r="D14" s="10" t="s">
        <v>1025</v>
      </c>
      <c r="E14" s="10" t="s">
        <v>1026</v>
      </c>
      <c r="F14" s="10" t="s">
        <v>1027</v>
      </c>
      <c r="G14" s="10" t="s">
        <v>982</v>
      </c>
    </row>
    <row r="15" spans="1:7" ht="92.1" customHeight="1" x14ac:dyDescent="0.25">
      <c r="A15" s="2" t="s">
        <v>1028</v>
      </c>
      <c r="B15" s="3" t="s">
        <v>633</v>
      </c>
      <c r="C15" s="3" t="s">
        <v>1029</v>
      </c>
      <c r="D15" s="3" t="s">
        <v>1030</v>
      </c>
      <c r="E15" s="3" t="s">
        <v>1031</v>
      </c>
      <c r="F15" s="3" t="s">
        <v>1032</v>
      </c>
      <c r="G15" s="3" t="s">
        <v>982</v>
      </c>
    </row>
    <row r="16" spans="1:7" ht="92.1" customHeight="1" x14ac:dyDescent="0.25">
      <c r="A16" s="9" t="s">
        <v>1033</v>
      </c>
      <c r="B16" s="10" t="s">
        <v>633</v>
      </c>
      <c r="C16" s="10" t="s">
        <v>1034</v>
      </c>
      <c r="D16" s="10" t="s">
        <v>1035</v>
      </c>
      <c r="E16" s="10" t="s">
        <v>1036</v>
      </c>
      <c r="F16" s="10" t="s">
        <v>1037</v>
      </c>
      <c r="G16" s="10" t="s">
        <v>982</v>
      </c>
    </row>
  </sheetData>
  <autoFilter ref="A4:G16" xr:uid="{00000000-0009-0000-0000-000009000000}"/>
  <mergeCells count="2">
    <mergeCell ref="A2:G2"/>
    <mergeCell ref="A1:G1"/>
  </mergeCells>
  <printOptions horizontalCentered="1"/>
  <pageMargins left="0.75" right="0.75" top="1" bottom="1" header="0.5" footer="0.5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6B73"/>
    <pageSetUpPr fitToPage="1"/>
  </sheetPr>
  <dimension ref="A1:B33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" width="115" customWidth="1"/>
  </cols>
  <sheetData>
    <row r="1" spans="1:2" ht="33" customHeight="1" x14ac:dyDescent="0.4">
      <c r="A1" s="29" t="s">
        <v>1038</v>
      </c>
      <c r="B1" s="22"/>
    </row>
    <row r="2" spans="1:2" ht="42" customHeight="1" x14ac:dyDescent="0.25">
      <c r="A2" s="28" t="s">
        <v>1039</v>
      </c>
      <c r="B2" s="22"/>
    </row>
    <row r="4" spans="1:2" ht="33.950000000000003" customHeight="1" x14ac:dyDescent="0.25">
      <c r="A4" s="1" t="s">
        <v>1040</v>
      </c>
      <c r="B4" s="1" t="s">
        <v>1041</v>
      </c>
    </row>
    <row r="5" spans="1:2" ht="92.1" customHeight="1" x14ac:dyDescent="0.25">
      <c r="A5" s="3" t="s">
        <v>30</v>
      </c>
      <c r="B5" s="3" t="s">
        <v>1042</v>
      </c>
    </row>
    <row r="6" spans="1:2" ht="92.1" customHeight="1" x14ac:dyDescent="0.25">
      <c r="A6" s="10" t="s">
        <v>31</v>
      </c>
      <c r="B6" s="10" t="s">
        <v>1043</v>
      </c>
    </row>
    <row r="7" spans="1:2" ht="92.1" customHeight="1" x14ac:dyDescent="0.25">
      <c r="A7" s="3" t="s">
        <v>37</v>
      </c>
      <c r="B7" s="3" t="s">
        <v>1044</v>
      </c>
    </row>
    <row r="8" spans="1:2" ht="92.1" customHeight="1" x14ac:dyDescent="0.25">
      <c r="A8" s="10" t="s">
        <v>38</v>
      </c>
      <c r="B8" s="10" t="s">
        <v>1045</v>
      </c>
    </row>
    <row r="9" spans="1:2" ht="92.1" customHeight="1" x14ac:dyDescent="0.25">
      <c r="A9" s="3" t="s">
        <v>39</v>
      </c>
      <c r="B9" s="3" t="s">
        <v>1046</v>
      </c>
    </row>
    <row r="10" spans="1:2" ht="92.1" customHeight="1" x14ac:dyDescent="0.25">
      <c r="A10" s="10" t="s">
        <v>40</v>
      </c>
      <c r="B10" s="10" t="s">
        <v>1047</v>
      </c>
    </row>
    <row r="11" spans="1:2" ht="92.1" customHeight="1" x14ac:dyDescent="0.25">
      <c r="A11" s="3" t="s">
        <v>1048</v>
      </c>
      <c r="B11" s="3" t="s">
        <v>1049</v>
      </c>
    </row>
    <row r="12" spans="1:2" ht="92.1" customHeight="1" x14ac:dyDescent="0.25">
      <c r="A12" s="10" t="s">
        <v>295</v>
      </c>
      <c r="B12" s="10" t="s">
        <v>1050</v>
      </c>
    </row>
    <row r="13" spans="1:2" ht="92.1" customHeight="1" x14ac:dyDescent="0.25">
      <c r="A13" s="3" t="s">
        <v>36</v>
      </c>
      <c r="B13" s="3" t="s">
        <v>1051</v>
      </c>
    </row>
    <row r="14" spans="1:2" ht="92.1" customHeight="1" x14ac:dyDescent="0.25">
      <c r="A14" s="10" t="s">
        <v>297</v>
      </c>
      <c r="B14" s="10" t="s">
        <v>1052</v>
      </c>
    </row>
    <row r="15" spans="1:2" ht="92.1" customHeight="1" x14ac:dyDescent="0.25">
      <c r="A15" s="3" t="s">
        <v>1053</v>
      </c>
      <c r="B15" s="3" t="s">
        <v>1054</v>
      </c>
    </row>
    <row r="16" spans="1:2" ht="92.1" customHeight="1" x14ac:dyDescent="0.25">
      <c r="A16" s="10" t="s">
        <v>446</v>
      </c>
      <c r="B16" s="10" t="s">
        <v>1055</v>
      </c>
    </row>
    <row r="17" spans="1:2" ht="92.1" customHeight="1" x14ac:dyDescent="0.25">
      <c r="A17" s="3" t="s">
        <v>451</v>
      </c>
      <c r="B17" s="3" t="s">
        <v>1056</v>
      </c>
    </row>
    <row r="18" spans="1:2" ht="92.1" customHeight="1" x14ac:dyDescent="0.25">
      <c r="A18" s="10" t="s">
        <v>68</v>
      </c>
      <c r="B18" s="10" t="s">
        <v>1057</v>
      </c>
    </row>
    <row r="19" spans="1:2" ht="92.1" customHeight="1" x14ac:dyDescent="0.25">
      <c r="A19" s="3" t="s">
        <v>55</v>
      </c>
      <c r="B19" s="3" t="s">
        <v>1058</v>
      </c>
    </row>
    <row r="20" spans="1:2" ht="92.1" customHeight="1" x14ac:dyDescent="0.25">
      <c r="A20" s="10" t="s">
        <v>256</v>
      </c>
      <c r="B20" s="10" t="s">
        <v>1059</v>
      </c>
    </row>
    <row r="21" spans="1:2" ht="92.1" customHeight="1" x14ac:dyDescent="0.25">
      <c r="A21" s="3" t="s">
        <v>131</v>
      </c>
      <c r="B21" s="3" t="s">
        <v>1060</v>
      </c>
    </row>
    <row r="22" spans="1:2" ht="92.1" customHeight="1" x14ac:dyDescent="0.25">
      <c r="A22" s="10" t="s">
        <v>1061</v>
      </c>
      <c r="B22" s="10" t="s">
        <v>1062</v>
      </c>
    </row>
    <row r="23" spans="1:2" ht="92.1" customHeight="1" x14ac:dyDescent="0.25">
      <c r="A23" s="3" t="s">
        <v>1063</v>
      </c>
      <c r="B23" s="3" t="s">
        <v>1064</v>
      </c>
    </row>
    <row r="24" spans="1:2" ht="92.1" customHeight="1" x14ac:dyDescent="0.25">
      <c r="A24" s="10" t="s">
        <v>201</v>
      </c>
      <c r="B24" s="10" t="s">
        <v>1065</v>
      </c>
    </row>
    <row r="25" spans="1:2" ht="92.1" customHeight="1" x14ac:dyDescent="0.25">
      <c r="A25" s="3" t="s">
        <v>304</v>
      </c>
      <c r="B25" s="3" t="s">
        <v>1066</v>
      </c>
    </row>
    <row r="26" spans="1:2" ht="92.1" customHeight="1" x14ac:dyDescent="0.25">
      <c r="A26" s="10" t="s">
        <v>359</v>
      </c>
      <c r="B26" s="10" t="s">
        <v>1067</v>
      </c>
    </row>
    <row r="27" spans="1:2" ht="92.1" customHeight="1" x14ac:dyDescent="0.25">
      <c r="A27" s="3" t="s">
        <v>345</v>
      </c>
      <c r="B27" s="3" t="s">
        <v>1068</v>
      </c>
    </row>
    <row r="28" spans="1:2" ht="92.1" customHeight="1" x14ac:dyDescent="0.25">
      <c r="A28" s="10" t="s">
        <v>452</v>
      </c>
      <c r="B28" s="10" t="s">
        <v>1069</v>
      </c>
    </row>
    <row r="29" spans="1:2" ht="92.1" customHeight="1" x14ac:dyDescent="0.25">
      <c r="A29" s="3" t="s">
        <v>621</v>
      </c>
      <c r="B29" s="3" t="s">
        <v>1070</v>
      </c>
    </row>
    <row r="30" spans="1:2" ht="92.1" customHeight="1" x14ac:dyDescent="0.25">
      <c r="A30" s="10" t="s">
        <v>622</v>
      </c>
      <c r="B30" s="10" t="s">
        <v>1071</v>
      </c>
    </row>
    <row r="31" spans="1:2" ht="92.1" customHeight="1" x14ac:dyDescent="0.25">
      <c r="A31" s="3" t="s">
        <v>623</v>
      </c>
      <c r="B31" s="3" t="s">
        <v>1072</v>
      </c>
    </row>
    <row r="32" spans="1:2" ht="92.1" customHeight="1" x14ac:dyDescent="0.25">
      <c r="A32" s="10" t="s">
        <v>299</v>
      </c>
      <c r="B32" s="10" t="s">
        <v>1073</v>
      </c>
    </row>
    <row r="33" spans="1:2" ht="92.1" customHeight="1" x14ac:dyDescent="0.25">
      <c r="A33" s="3" t="s">
        <v>1074</v>
      </c>
      <c r="B33" s="3" t="s">
        <v>1075</v>
      </c>
    </row>
  </sheetData>
  <autoFilter ref="A4:B33" xr:uid="{00000000-0009-0000-0000-00000A000000}"/>
  <mergeCells count="2">
    <mergeCell ref="A2:B2"/>
    <mergeCell ref="A1:B1"/>
  </mergeCells>
  <printOptions horizontalCentered="1"/>
  <pageMargins left="0.75" right="0.75" top="1" bottom="1" header="0.5" footer="0.5"/>
  <pageSetup paperSize="8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8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5"/>
  <cols>
    <col min="1" max="2" width="25" customWidth="1"/>
  </cols>
  <sheetData>
    <row r="1" spans="1:2" ht="26.25" x14ac:dyDescent="0.4">
      <c r="A1" s="19" t="s">
        <v>1076</v>
      </c>
    </row>
    <row r="2" spans="1:2" x14ac:dyDescent="0.25">
      <c r="A2" t="s">
        <v>1077</v>
      </c>
    </row>
    <row r="4" spans="1:2" x14ac:dyDescent="0.25">
      <c r="A4" s="20" t="s">
        <v>32</v>
      </c>
      <c r="B4" s="20" t="s">
        <v>31</v>
      </c>
    </row>
    <row r="5" spans="1:2" x14ac:dyDescent="0.25">
      <c r="A5" t="s">
        <v>127</v>
      </c>
      <c r="B5" t="s">
        <v>126</v>
      </c>
    </row>
    <row r="6" spans="1:2" x14ac:dyDescent="0.25">
      <c r="A6" t="s">
        <v>166</v>
      </c>
      <c r="B6" t="s">
        <v>165</v>
      </c>
    </row>
    <row r="7" spans="1:2" x14ac:dyDescent="0.25">
      <c r="A7" t="s">
        <v>50</v>
      </c>
      <c r="B7" t="s">
        <v>49</v>
      </c>
    </row>
    <row r="8" spans="1:2" x14ac:dyDescent="0.25">
      <c r="A8" t="s">
        <v>50</v>
      </c>
      <c r="B8" t="s">
        <v>64</v>
      </c>
    </row>
    <row r="9" spans="1:2" x14ac:dyDescent="0.25">
      <c r="A9" t="s">
        <v>50</v>
      </c>
      <c r="B9" t="s">
        <v>73</v>
      </c>
    </row>
    <row r="10" spans="1:2" x14ac:dyDescent="0.25">
      <c r="A10" t="s">
        <v>50</v>
      </c>
      <c r="B10" t="s">
        <v>101</v>
      </c>
    </row>
    <row r="11" spans="1:2" x14ac:dyDescent="0.25">
      <c r="A11" t="s">
        <v>50</v>
      </c>
      <c r="B11" t="s">
        <v>140</v>
      </c>
    </row>
    <row r="12" spans="1:2" x14ac:dyDescent="0.25">
      <c r="A12" t="s">
        <v>50</v>
      </c>
      <c r="B12" t="s">
        <v>186</v>
      </c>
    </row>
    <row r="13" spans="1:2" x14ac:dyDescent="0.25">
      <c r="A13" t="s">
        <v>50</v>
      </c>
      <c r="B13" t="s">
        <v>203</v>
      </c>
    </row>
    <row r="14" spans="1:2" x14ac:dyDescent="0.25">
      <c r="A14" t="s">
        <v>50</v>
      </c>
      <c r="B14" t="s">
        <v>234</v>
      </c>
    </row>
    <row r="15" spans="1:2" x14ac:dyDescent="0.25">
      <c r="A15" t="s">
        <v>50</v>
      </c>
      <c r="B15" t="s">
        <v>284</v>
      </c>
    </row>
    <row r="16" spans="1:2" x14ac:dyDescent="0.25">
      <c r="A16" t="s">
        <v>83</v>
      </c>
      <c r="B16" t="s">
        <v>82</v>
      </c>
    </row>
    <row r="17" spans="1:2" x14ac:dyDescent="0.25">
      <c r="A17" t="s">
        <v>83</v>
      </c>
      <c r="B17" t="s">
        <v>91</v>
      </c>
    </row>
    <row r="18" spans="1:2" x14ac:dyDescent="0.25">
      <c r="A18" t="s">
        <v>83</v>
      </c>
      <c r="B18" t="s">
        <v>212</v>
      </c>
    </row>
    <row r="19" spans="1:2" x14ac:dyDescent="0.25">
      <c r="A19" t="s">
        <v>157</v>
      </c>
      <c r="B19" t="s">
        <v>156</v>
      </c>
    </row>
    <row r="20" spans="1:2" x14ac:dyDescent="0.25">
      <c r="A20" t="s">
        <v>157</v>
      </c>
      <c r="B20" t="s">
        <v>179</v>
      </c>
    </row>
    <row r="21" spans="1:2" x14ac:dyDescent="0.25">
      <c r="A21" t="s">
        <v>224</v>
      </c>
      <c r="B21" t="s">
        <v>223</v>
      </c>
    </row>
    <row r="22" spans="1:2" x14ac:dyDescent="0.25">
      <c r="A22" t="s">
        <v>102</v>
      </c>
      <c r="B22" t="s">
        <v>101</v>
      </c>
    </row>
    <row r="23" spans="1:2" x14ac:dyDescent="0.25">
      <c r="A23" t="s">
        <v>102</v>
      </c>
      <c r="B23" t="s">
        <v>148</v>
      </c>
    </row>
    <row r="24" spans="1:2" x14ac:dyDescent="0.25">
      <c r="A24" t="s">
        <v>118</v>
      </c>
      <c r="B24" t="s">
        <v>117</v>
      </c>
    </row>
    <row r="25" spans="1:2" x14ac:dyDescent="0.25">
      <c r="A25" t="s">
        <v>118</v>
      </c>
      <c r="B25" t="s">
        <v>274</v>
      </c>
    </row>
    <row r="26" spans="1:2" x14ac:dyDescent="0.25">
      <c r="A26" t="s">
        <v>174</v>
      </c>
      <c r="B26" t="s">
        <v>165</v>
      </c>
    </row>
    <row r="27" spans="1:2" x14ac:dyDescent="0.25">
      <c r="A27" t="s">
        <v>174</v>
      </c>
      <c r="B27" t="s">
        <v>243</v>
      </c>
    </row>
    <row r="28" spans="1:2" x14ac:dyDescent="0.25">
      <c r="A28" t="s">
        <v>174</v>
      </c>
      <c r="B28" t="s">
        <v>252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11</vt:i4>
      </vt:variant>
    </vt:vector>
  </HeadingPairs>
  <TitlesOfParts>
    <vt:vector size="23" baseType="lpstr">
      <vt:lpstr>README</vt:lpstr>
      <vt:lpstr>Priority_view</vt:lpstr>
      <vt:lpstr>Raw_observations</vt:lpstr>
      <vt:lpstr>Survey_units</vt:lpstr>
      <vt:lpstr>Age_strata</vt:lpstr>
      <vt:lpstr>Sources</vt:lpstr>
      <vt:lpstr>Review_trace</vt:lpstr>
      <vt:lpstr>UF_coverage</vt:lpstr>
      <vt:lpstr>Gaps_exclusions</vt:lpstr>
      <vt:lpstr>Search_log</vt:lpstr>
      <vt:lpstr>Data_dictionary</vt:lpstr>
      <vt:lpstr>UF_source_links</vt:lpstr>
      <vt:lpstr>README!Print_Area</vt:lpstr>
      <vt:lpstr>Age_strata!Print_Titles</vt:lpstr>
      <vt:lpstr>Data_dictionary!Print_Titles</vt:lpstr>
      <vt:lpstr>Gaps_exclusions!Print_Titles</vt:lpstr>
      <vt:lpstr>Priority_view!Print_Titles</vt:lpstr>
      <vt:lpstr>Raw_observations!Print_Titles</vt:lpstr>
      <vt:lpstr>Review_trace!Print_Titles</vt:lpstr>
      <vt:lpstr>Search_log!Print_Titles</vt:lpstr>
      <vt:lpstr>Sources!Print_Titles</vt:lpstr>
      <vt:lpstr>Survey_units!Print_Titles</vt:lpstr>
      <vt:lpstr>UF_coverage!Print_Titles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효림 강</cp:lastModifiedBy>
  <dcterms:created xsi:type="dcterms:W3CDTF">2026-09-10T15:00:36Z</dcterms:created>
  <dcterms:modified xsi:type="dcterms:W3CDTF">2026-09-12T13:18:09Z</dcterms:modified>
</cp:coreProperties>
</file>